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tables/table2.xml" ContentType="application/vnd.openxmlformats-officedocument.spreadsheetml.table+xml"/>
  <Override PartName="/xl/pivotTables/pivotTable16.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pivotTables/pivotTable17.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7.xml" ContentType="application/vnd.openxmlformats-officedocument.drawing+xml"/>
  <Override PartName="/xl/slicers/slicer1.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harts/chart50.xml" ContentType="application/vnd.openxmlformats-officedocument.drawingml.chart+xml"/>
  <Override PartName="/xl/charts/style48.xml" ContentType="application/vnd.ms-office.chartstyle+xml"/>
  <Override PartName="/xl/charts/colors48.xml" ContentType="application/vnd.ms-office.chartcolorstyle+xml"/>
  <Override PartName="/xl/charts/chart51.xml" ContentType="application/vnd.openxmlformats-officedocument.drawingml.chart+xml"/>
  <Override PartName="/xl/charts/style49.xml" ContentType="application/vnd.ms-office.chartstyle+xml"/>
  <Override PartName="/xl/charts/colors49.xml" ContentType="application/vnd.ms-office.chartcolorstyle+xml"/>
  <Override PartName="/xl/charts/chart52.xml" ContentType="application/vnd.openxmlformats-officedocument.drawingml.chart+xml"/>
  <Override PartName="/xl/charts/style50.xml" ContentType="application/vnd.ms-office.chartstyle+xml"/>
  <Override PartName="/xl/charts/colors50.xml" ContentType="application/vnd.ms-office.chartcolorstyle+xml"/>
  <Override PartName="/xl/charts/chart53.xml" ContentType="application/vnd.openxmlformats-officedocument.drawingml.chart+xml"/>
  <Override PartName="/xl/charts/style51.xml" ContentType="application/vnd.ms-office.chartstyle+xml"/>
  <Override PartName="/xl/charts/colors51.xml" ContentType="application/vnd.ms-office.chartcolorstyle+xml"/>
  <Override PartName="/xl/charts/chart54.xml" ContentType="application/vnd.openxmlformats-officedocument.drawingml.chart+xml"/>
  <Override PartName="/xl/charts/style52.xml" ContentType="application/vnd.ms-office.chartstyle+xml"/>
  <Override PartName="/xl/charts/colors52.xml" ContentType="application/vnd.ms-office.chartcolorstyle+xml"/>
  <Override PartName="/xl/charts/chart55.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8.xml" ContentType="application/vnd.openxmlformats-officedocument.drawing+xml"/>
  <Override PartName="/xl/charts/chart56.xml" ContentType="application/vnd.openxmlformats-officedocument.drawingml.chart+xml"/>
  <Override PartName="/xl/charts/style54.xml" ContentType="application/vnd.ms-office.chartstyle+xml"/>
  <Override PartName="/xl/charts/colors54.xml" ContentType="application/vnd.ms-office.chartcolorstyle+xml"/>
  <Override PartName="/xl/charts/chart57.xml" ContentType="application/vnd.openxmlformats-officedocument.drawingml.chart+xml"/>
  <Override PartName="/xl/charts/style55.xml" ContentType="application/vnd.ms-office.chartstyle+xml"/>
  <Override PartName="/xl/charts/colors55.xml" ContentType="application/vnd.ms-office.chartcolorstyle+xml"/>
  <Override PartName="/xl/charts/chart58.xml" ContentType="application/vnd.openxmlformats-officedocument.drawingml.chart+xml"/>
  <Override PartName="/xl/charts/style56.xml" ContentType="application/vnd.ms-office.chartstyle+xml"/>
  <Override PartName="/xl/charts/colors56.xml" ContentType="application/vnd.ms-office.chartcolorstyle+xml"/>
  <Override PartName="/xl/charts/chart59.xml" ContentType="application/vnd.openxmlformats-officedocument.drawingml.chart+xml"/>
  <Override PartName="/xl/charts/style57.xml" ContentType="application/vnd.ms-office.chartstyle+xml"/>
  <Override PartName="/xl/charts/colors57.xml" ContentType="application/vnd.ms-office.chartcolorstyle+xml"/>
  <Override PartName="/xl/charts/chart60.xml" ContentType="application/vnd.openxmlformats-officedocument.drawingml.chart+xml"/>
  <Override PartName="/xl/charts/style58.xml" ContentType="application/vnd.ms-office.chartstyle+xml"/>
  <Override PartName="/xl/charts/colors58.xml" ContentType="application/vnd.ms-office.chartcolorstyle+xml"/>
  <Override PartName="/xl/pivotTables/pivotTable33.xml" ContentType="application/vnd.openxmlformats-officedocument.spreadsheetml.pivotTable+xml"/>
  <Override PartName="/xl/drawings/drawing19.xml" ContentType="application/vnd.openxmlformats-officedocument.drawing+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https://d.docs.live.net/2e585327e0fb413a/Documents/Excel For Data Analytics Cohort 3 Year 2025 2/Excel Project/"/>
    </mc:Choice>
  </mc:AlternateContent>
  <xr:revisionPtr revIDLastSave="828" documentId="13_ncr:1_{3C038973-20B5-444D-B395-237EAC7F1601}" xr6:coauthVersionLast="47" xr6:coauthVersionMax="47" xr10:uidLastSave="{8B75BCEC-3172-4E29-9A5B-F4DE55B077B6}"/>
  <bookViews>
    <workbookView xWindow="-110" yWindow="-110" windowWidth="19420" windowHeight="10300" firstSheet="20" activeTab="24" xr2:uid="{00000000-000D-0000-FFFF-FFFF00000000}"/>
  </bookViews>
  <sheets>
    <sheet name="total av,min,max" sheetId="12" r:id="rId1"/>
    <sheet name="Sheet1" sheetId="2" state="hidden" r:id="rId2"/>
    <sheet name="Titanic (1)" sheetId="1" r:id="rId3"/>
    <sheet name="how many passenge in each class" sheetId="7" state="hidden" r:id="rId4"/>
    <sheet name="count of male and female" sheetId="8" state="hidden" r:id="rId5"/>
    <sheet name="passanger in age group" sheetId="10" state="hidden" r:id="rId6"/>
    <sheet name="passenger with slibing on board" sheetId="11" state="hidden" r:id="rId7"/>
    <sheet name="Sheet11" sheetId="24" state="hidden" r:id="rId8"/>
    <sheet name="BOARED AT EACH LOCATION" sheetId="13" state="hidden" r:id="rId9"/>
    <sheet name="NUMBER OF MALE AND FEMALE " sheetId="14" state="hidden" r:id="rId10"/>
    <sheet name="count of survived passengers" sheetId="15" state="hidden" r:id="rId11"/>
    <sheet name="passenger that survive m,f" sheetId="16" state="hidden" r:id="rId12"/>
    <sheet name="sum of survival in each class" sheetId="17" state="hidden" r:id="rId13"/>
    <sheet name="survival by age group" sheetId="18" state="hidden" r:id="rId14"/>
    <sheet name=" survived passenger embarked " sheetId="19" state="hidden" r:id="rId15"/>
    <sheet name="sum of survival by gender" sheetId="20" state="hidden" r:id="rId16"/>
    <sheet name="average survival by agegroup" sheetId="21" state="hidden" r:id="rId17"/>
    <sheet name="Sheet10" sheetId="23" state="hidden" r:id="rId18"/>
    <sheet name="Sheet3" sheetId="27" state="hidden" r:id="rId19"/>
    <sheet name="PASSENGER WITH CHILDREN ON BOAR" sheetId="25" state="hidden" r:id="rId20"/>
    <sheet name="cleaned table" sheetId="5" r:id="rId21"/>
    <sheet name="count of passenger" sheetId="6" state="hidden" r:id="rId22"/>
    <sheet name="DASHBOARD 1" sheetId="22" state="hidden" r:id="rId23"/>
    <sheet name="ALL CHARTS" sheetId="26" r:id="rId24"/>
    <sheet name="DASHBOARD" sheetId="38" r:id="rId25"/>
    <sheet name="Sheet2" sheetId="39" state="hidden" r:id="rId26"/>
    <sheet name="Sheet4" sheetId="28" state="hidden" r:id="rId27"/>
    <sheet name="Sheet9" sheetId="33" state="hidden" r:id="rId28"/>
    <sheet name="Sheet14" sheetId="36" state="hidden" r:id="rId29"/>
    <sheet name="Sheet15" sheetId="37" state="hidden" r:id="rId30"/>
    <sheet name="Sheet13" sheetId="35" state="hidden" r:id="rId31"/>
    <sheet name="Sheet12" sheetId="34" state="hidden" r:id="rId32"/>
  </sheets>
  <definedNames>
    <definedName name="_xlnm._FilterDatabase" localSheetId="20" hidden="1">'cleaned table'!$A$1:$M$419</definedName>
    <definedName name="_xlnm._FilterDatabase" localSheetId="1" hidden="1">Sheet1!$A$1:$P$420</definedName>
    <definedName name="_xlnm._FilterDatabase" localSheetId="2" hidden="1">'Titanic (1)'!$A$1:$L$419</definedName>
    <definedName name="Slicer_AGEGROUP">#N/A</definedName>
    <definedName name="Slicer_Embarked">#N/A</definedName>
    <definedName name="Slicer_Pclass">#N/A</definedName>
    <definedName name="Slicer_Sex">#N/A</definedName>
  </definedNames>
  <calcPr calcId="191029"/>
  <pivotCaches>
    <pivotCache cacheId="8" r:id="rId33"/>
    <pivotCache cacheId="9" r:id="rId34"/>
  </pivotCaches>
  <extLs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2" l="1"/>
  <c r="G8" i="12"/>
  <c r="H5" i="12"/>
  <c r="G5" i="12"/>
  <c r="F2" i="5"/>
  <c r="G6" i="12"/>
  <c r="G4" i="12"/>
  <c r="G3" i="12"/>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2" i="2"/>
  <c r="R2" i="2"/>
  <c r="P417" i="2"/>
  <c r="P416" i="2"/>
  <c r="P414" i="2"/>
  <c r="P413" i="2"/>
  <c r="P412" i="2"/>
  <c r="P411" i="2"/>
  <c r="P410" i="2"/>
  <c r="P409" i="2"/>
  <c r="P408" i="2"/>
  <c r="P407" i="2"/>
  <c r="P406" i="2"/>
  <c r="P405" i="2"/>
  <c r="P404" i="2"/>
  <c r="P403" i="2"/>
  <c r="P402" i="2"/>
  <c r="P401" i="2"/>
  <c r="P400" i="2"/>
  <c r="P399" i="2"/>
  <c r="P398" i="2"/>
  <c r="P397" i="2"/>
  <c r="P396" i="2"/>
  <c r="P395" i="2"/>
  <c r="P394" i="2"/>
  <c r="P393" i="2"/>
  <c r="P392" i="2"/>
  <c r="P390" i="2"/>
  <c r="P389" i="2"/>
  <c r="P388" i="2"/>
  <c r="P387" i="2"/>
  <c r="P385" i="2"/>
  <c r="P384" i="2"/>
  <c r="P383" i="2"/>
  <c r="P380" i="2"/>
  <c r="P379" i="2"/>
  <c r="P378" i="2"/>
  <c r="P377" i="2"/>
  <c r="P376" i="2"/>
  <c r="P375" i="2"/>
  <c r="P374" i="2"/>
  <c r="P373" i="2"/>
  <c r="P372" i="2"/>
  <c r="P371" i="2"/>
  <c r="P370" i="2"/>
  <c r="P369" i="2"/>
  <c r="P367" i="2"/>
  <c r="P366" i="2"/>
  <c r="P365" i="2"/>
  <c r="P364" i="2"/>
  <c r="P363" i="2"/>
  <c r="P362" i="2"/>
  <c r="P361" i="2"/>
  <c r="P358" i="2"/>
  <c r="P357" i="2"/>
  <c r="P356" i="2"/>
  <c r="P355" i="2"/>
  <c r="P354" i="2"/>
  <c r="P353" i="2"/>
  <c r="P352" i="2"/>
  <c r="P351" i="2"/>
  <c r="P350" i="2"/>
  <c r="P349" i="2"/>
  <c r="P348" i="2"/>
  <c r="P347" i="2"/>
  <c r="P345" i="2"/>
  <c r="P343" i="2"/>
  <c r="P342" i="2"/>
  <c r="P340" i="2"/>
  <c r="P339" i="2"/>
  <c r="P338" i="2"/>
  <c r="P337" i="2"/>
  <c r="P336" i="2"/>
  <c r="P335" i="2"/>
  <c r="P333" i="2"/>
  <c r="P332" i="2"/>
  <c r="P331" i="2"/>
  <c r="P330" i="2"/>
  <c r="P329" i="2"/>
  <c r="P328" i="2"/>
  <c r="P327" i="2"/>
  <c r="P326" i="2"/>
  <c r="P325" i="2"/>
  <c r="P324" i="2"/>
  <c r="P323" i="2"/>
  <c r="P322" i="2"/>
  <c r="P321" i="2"/>
  <c r="P320" i="2"/>
  <c r="P319" i="2"/>
  <c r="P318" i="2"/>
  <c r="P317" i="2"/>
  <c r="P316" i="2"/>
  <c r="P315" i="2"/>
  <c r="P313" i="2"/>
  <c r="P312" i="2"/>
  <c r="P311" i="2"/>
  <c r="P310" i="2"/>
  <c r="P308" i="2"/>
  <c r="P307" i="2"/>
  <c r="P306" i="2"/>
  <c r="P305" i="2"/>
  <c r="P304" i="2"/>
  <c r="P302" i="2"/>
  <c r="P301" i="2"/>
  <c r="P300" i="2"/>
  <c r="P298" i="2"/>
  <c r="P297" i="2"/>
  <c r="P296" i="2"/>
  <c r="P295" i="2"/>
  <c r="P293" i="2"/>
  <c r="P289" i="2"/>
  <c r="P287" i="2"/>
  <c r="P286" i="2"/>
  <c r="P285" i="2"/>
  <c r="P284" i="2"/>
  <c r="P282" i="2"/>
  <c r="P281" i="2"/>
  <c r="P280" i="2"/>
  <c r="P279" i="2"/>
  <c r="P278" i="2"/>
  <c r="P277" i="2"/>
  <c r="P275" i="2"/>
  <c r="P274" i="2"/>
  <c r="P272" i="2"/>
  <c r="P271" i="2"/>
  <c r="P270" i="2"/>
  <c r="P266" i="2"/>
  <c r="P265" i="2"/>
  <c r="P264" i="2"/>
  <c r="P263" i="2"/>
  <c r="P262" i="2"/>
  <c r="P261" i="2"/>
  <c r="P260" i="2"/>
  <c r="P259" i="2"/>
  <c r="P256" i="2"/>
  <c r="P255" i="2"/>
  <c r="P254" i="2"/>
  <c r="P253" i="2"/>
  <c r="P252" i="2"/>
  <c r="P251" i="2"/>
  <c r="P250" i="2"/>
  <c r="P249" i="2"/>
  <c r="P248" i="2"/>
  <c r="P247" i="2"/>
  <c r="P244" i="2"/>
  <c r="P243" i="2"/>
  <c r="P242" i="2"/>
  <c r="P241" i="2"/>
  <c r="P240" i="2"/>
  <c r="P239" i="2"/>
  <c r="P238" i="2"/>
  <c r="P237" i="2"/>
  <c r="P236" i="2"/>
  <c r="P234" i="2"/>
  <c r="P233" i="2"/>
  <c r="P232" i="2"/>
  <c r="P231" i="2"/>
  <c r="P230" i="2"/>
  <c r="P229" i="2"/>
  <c r="P228" i="2"/>
  <c r="P227" i="2"/>
  <c r="P226" i="2"/>
  <c r="P225" i="2"/>
  <c r="P224" i="2"/>
  <c r="P223" i="2"/>
  <c r="P222" i="2"/>
  <c r="P220" i="2"/>
  <c r="P219" i="2"/>
  <c r="P218" i="2"/>
  <c r="P217" i="2"/>
  <c r="P216" i="2"/>
  <c r="P215" i="2"/>
  <c r="P214" i="2"/>
  <c r="P212" i="2"/>
  <c r="P211" i="2"/>
  <c r="P210" i="2"/>
  <c r="P209" i="2"/>
  <c r="P208" i="2"/>
  <c r="P206" i="2"/>
  <c r="P205" i="2"/>
  <c r="P204" i="2"/>
  <c r="P202" i="2"/>
  <c r="P201" i="2"/>
  <c r="P200" i="2"/>
  <c r="P199" i="2"/>
  <c r="P197" i="2"/>
  <c r="P195" i="2"/>
  <c r="P194" i="2"/>
  <c r="P192" i="2"/>
  <c r="P191" i="2"/>
  <c r="P190" i="2"/>
  <c r="P189" i="2"/>
  <c r="P188" i="2"/>
  <c r="P187" i="2"/>
  <c r="P186" i="2"/>
  <c r="P184" i="2"/>
  <c r="P183" i="2"/>
  <c r="P182" i="2"/>
  <c r="P181" i="2"/>
  <c r="P180" i="2"/>
  <c r="P179" i="2"/>
  <c r="P178" i="2"/>
  <c r="P177" i="2"/>
  <c r="P176" i="2"/>
  <c r="P174" i="2"/>
  <c r="P173" i="2"/>
  <c r="P171" i="2"/>
  <c r="P170" i="2"/>
  <c r="P169" i="2"/>
  <c r="P168" i="2"/>
  <c r="P167" i="2"/>
  <c r="P166" i="2"/>
  <c r="P164" i="2"/>
  <c r="P162" i="2"/>
  <c r="P161" i="2"/>
  <c r="P160" i="2"/>
  <c r="P159" i="2"/>
  <c r="P158" i="2"/>
  <c r="P157" i="2"/>
  <c r="P156" i="2"/>
  <c r="P155" i="2"/>
  <c r="P154" i="2"/>
  <c r="P152" i="2"/>
  <c r="P151" i="2"/>
  <c r="P149" i="2"/>
  <c r="P147" i="2"/>
  <c r="P146" i="2"/>
  <c r="P145" i="2"/>
  <c r="P144" i="2"/>
  <c r="P143" i="2"/>
  <c r="P142" i="2"/>
  <c r="P141" i="2"/>
  <c r="P140" i="2"/>
  <c r="P139" i="2"/>
  <c r="P138" i="2"/>
  <c r="P137" i="2"/>
  <c r="P136" i="2"/>
  <c r="P134" i="2"/>
  <c r="P133" i="2"/>
  <c r="P132" i="2"/>
  <c r="P131" i="2"/>
  <c r="P130" i="2"/>
  <c r="P129" i="2"/>
  <c r="P128" i="2"/>
  <c r="P127" i="2"/>
  <c r="P125" i="2"/>
  <c r="P124" i="2"/>
  <c r="P122" i="2"/>
  <c r="P121" i="2"/>
  <c r="P120" i="2"/>
  <c r="P119" i="2"/>
  <c r="P117" i="2"/>
  <c r="P116" i="2"/>
  <c r="P115" i="2"/>
  <c r="P114" i="2"/>
  <c r="P113" i="2"/>
  <c r="P112" i="2"/>
  <c r="P111" i="2"/>
  <c r="P108" i="2"/>
  <c r="P107" i="2"/>
  <c r="P106" i="2"/>
  <c r="P105" i="2"/>
  <c r="P103" i="2"/>
  <c r="P102" i="2"/>
  <c r="P101" i="2"/>
  <c r="P100" i="2"/>
  <c r="P99" i="2"/>
  <c r="P98" i="2"/>
  <c r="P97" i="2"/>
  <c r="P96" i="2"/>
  <c r="P94" i="2"/>
  <c r="P92" i="2"/>
  <c r="P90" i="2"/>
  <c r="P89" i="2"/>
  <c r="P88" i="2"/>
  <c r="P84" i="2"/>
  <c r="P83" i="2"/>
  <c r="P81" i="2"/>
  <c r="P80" i="2"/>
  <c r="P79" i="2"/>
  <c r="P77" i="2"/>
  <c r="P76" i="2"/>
  <c r="P75" i="2"/>
  <c r="P74" i="2"/>
  <c r="P73" i="2"/>
  <c r="P72" i="2"/>
  <c r="P71" i="2"/>
  <c r="P70" i="2"/>
  <c r="P69" i="2"/>
  <c r="P68" i="2"/>
  <c r="P67" i="2"/>
  <c r="P66" i="2"/>
  <c r="P65" i="2"/>
  <c r="P64" i="2"/>
  <c r="P63" i="2"/>
  <c r="P62" i="2"/>
  <c r="P61" i="2"/>
  <c r="P59" i="2"/>
  <c r="P58" i="2"/>
  <c r="P57" i="2"/>
  <c r="P55" i="2"/>
  <c r="P54" i="2"/>
  <c r="P53" i="2"/>
  <c r="P52" i="2"/>
  <c r="P51" i="2"/>
  <c r="P50" i="2"/>
  <c r="P48" i="2"/>
  <c r="P47" i="2"/>
  <c r="P46" i="2"/>
  <c r="P45" i="2"/>
  <c r="P44" i="2"/>
  <c r="P42" i="2"/>
  <c r="P40" i="2"/>
  <c r="P39" i="2"/>
  <c r="P38" i="2"/>
  <c r="P37" i="2"/>
  <c r="P36" i="2"/>
  <c r="P35" i="2"/>
  <c r="P34" i="2"/>
  <c r="P33" i="2"/>
  <c r="P32" i="2"/>
  <c r="P30" i="2"/>
  <c r="P29" i="2"/>
  <c r="P28" i="2"/>
  <c r="P27" i="2"/>
  <c r="P26" i="2"/>
  <c r="P25" i="2"/>
  <c r="P24" i="2"/>
  <c r="P23" i="2"/>
  <c r="P22" i="2"/>
  <c r="P21" i="2"/>
  <c r="P20" i="2"/>
  <c r="P19" i="2"/>
  <c r="P18" i="2"/>
  <c r="P17" i="2"/>
  <c r="P16" i="2"/>
  <c r="P15" i="2"/>
  <c r="P14" i="2"/>
  <c r="P13" i="2"/>
  <c r="P11" i="2"/>
  <c r="P10" i="2"/>
  <c r="P9" i="2"/>
  <c r="P8" i="2"/>
  <c r="P7" i="2"/>
  <c r="P6" i="2"/>
  <c r="P5" i="2"/>
  <c r="P4" i="2"/>
  <c r="P3" i="2"/>
  <c r="P2" i="2"/>
  <c r="S2" i="2" s="1"/>
  <c r="P82" i="2"/>
  <c r="P91" i="2"/>
  <c r="P163" i="2"/>
  <c r="P196" i="2"/>
  <c r="P198" i="2"/>
  <c r="P203" i="2"/>
  <c r="P283" i="2"/>
  <c r="P309" i="2"/>
  <c r="P381" i="2"/>
  <c r="P39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2" i="2"/>
  <c r="M3" i="2"/>
  <c r="M4" i="2"/>
  <c r="M5" i="2"/>
  <c r="M6" i="2"/>
  <c r="M7" i="2"/>
  <c r="M8" i="2"/>
  <c r="M9" i="2"/>
  <c r="M420" i="2" s="1"/>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2" i="2"/>
  <c r="C4" i="26"/>
  <c r="P420" i="2" l="1"/>
  <c r="T2" i="2"/>
</calcChain>
</file>

<file path=xl/sharedStrings.xml><?xml version="1.0" encoding="utf-8"?>
<sst xmlns="http://schemas.openxmlformats.org/spreadsheetml/2006/main" count="7488" uniqueCount="968">
  <si>
    <t>Survived</t>
  </si>
  <si>
    <t>Pclass</t>
  </si>
  <si>
    <t>Name</t>
  </si>
  <si>
    <t>Sex</t>
  </si>
  <si>
    <t>Age</t>
  </si>
  <si>
    <t>Parch</t>
  </si>
  <si>
    <t>Ticket</t>
  </si>
  <si>
    <t>Fare</t>
  </si>
  <si>
    <t>Cabin</t>
  </si>
  <si>
    <t>Embarked</t>
  </si>
  <si>
    <t>Kelly, Mr. James</t>
  </si>
  <si>
    <t>male</t>
  </si>
  <si>
    <t>Q</t>
  </si>
  <si>
    <t>Wilkes, Mrs. James (Ellen Needs)</t>
  </si>
  <si>
    <t>female</t>
  </si>
  <si>
    <t>S</t>
  </si>
  <si>
    <t>Myles, Mr. Thomas Francis</t>
  </si>
  <si>
    <t>Wirz, Mr. Albert</t>
  </si>
  <si>
    <t>Hirvonen, Mrs. Alexander (Helga E Lindqvist)</t>
  </si>
  <si>
    <t>Svensson, Mr. Johan Cervin</t>
  </si>
  <si>
    <t>Connolly, Miss. Kate</t>
  </si>
  <si>
    <t>Caldwell, Mr. Albert Francis</t>
  </si>
  <si>
    <t>Abrahim, Mrs. Joseph (Sophie Halaut Easu)</t>
  </si>
  <si>
    <t>C</t>
  </si>
  <si>
    <t>Davies, Mr. John Samuel</t>
  </si>
  <si>
    <t>A/4 48871</t>
  </si>
  <si>
    <t>Ilieff, Mr. Ylio</t>
  </si>
  <si>
    <t>Jones, Mr. Charles Cresson</t>
  </si>
  <si>
    <t>Snyder, Mrs. John Pillsbury (Nelle Stevenson)</t>
  </si>
  <si>
    <t>B45</t>
  </si>
  <si>
    <t>Howard, Mr. Benjamin</t>
  </si>
  <si>
    <t>Chaffee, Mrs. Herbert Fuller (Carrie Constance Toogood)</t>
  </si>
  <si>
    <t>W.E.P. 5734</t>
  </si>
  <si>
    <t>E31</t>
  </si>
  <si>
    <t>del Carlo, Mrs. Sebastiano (Argenia Genovesi)</t>
  </si>
  <si>
    <t>SC/PARIS 2167</t>
  </si>
  <si>
    <t>Keane, Mr. Daniel</t>
  </si>
  <si>
    <t>Assaf, Mr. Gerios</t>
  </si>
  <si>
    <t>Ilmakangas, Miss. Ida Livija</t>
  </si>
  <si>
    <t>STON/O2. 3101270</t>
  </si>
  <si>
    <t>Assaf Khalil, Mrs. Mariana (Miriam")"</t>
  </si>
  <si>
    <t>Rothschild, Mr. Martin</t>
  </si>
  <si>
    <t>PC 17603</t>
  </si>
  <si>
    <t>Olsen, Master. Artur Karl</t>
  </si>
  <si>
    <t>C 17368</t>
  </si>
  <si>
    <t>Flegenheim, Mrs. Alfred (Antoinette)</t>
  </si>
  <si>
    <t>PC 17598</t>
  </si>
  <si>
    <t>Williams, Mr. Richard Norris II</t>
  </si>
  <si>
    <t>PC 17597</t>
  </si>
  <si>
    <t>Ryerson, Mrs. Arthur Larned (Emily Maria Borie)</t>
  </si>
  <si>
    <t>PC 17608</t>
  </si>
  <si>
    <t>B57 B59 B63 B66</t>
  </si>
  <si>
    <t>Robins, Mr. Alexander A</t>
  </si>
  <si>
    <t>A/5. 3337</t>
  </si>
  <si>
    <t>Ostby, Miss. Helene Ragnhild</t>
  </si>
  <si>
    <t>B36</t>
  </si>
  <si>
    <t>Daher, Mr. Shedid</t>
  </si>
  <si>
    <t>Brady, Mr. John Bertram</t>
  </si>
  <si>
    <t>A21</t>
  </si>
  <si>
    <t>Samaan, Mr. Elias</t>
  </si>
  <si>
    <t>Louch, Mr. Charles Alexander</t>
  </si>
  <si>
    <t>SC/AH 3085</t>
  </si>
  <si>
    <t>Jefferys, Mr. Clifford Thomas</t>
  </si>
  <si>
    <t>C.A. 31029</t>
  </si>
  <si>
    <t>Dean, Mrs. Bertram (Eva Georgetta Light)</t>
  </si>
  <si>
    <t>C.A. 2315</t>
  </si>
  <si>
    <t>Johnston, Mrs. Andrew G (Elizabeth Lily" Watson)"</t>
  </si>
  <si>
    <t>W./C. 6607</t>
  </si>
  <si>
    <t>Mock, Mr. Philipp Edmund</t>
  </si>
  <si>
    <t>C78</t>
  </si>
  <si>
    <t>Katavelas, Mr. Vassilios (Catavelas Vassilios")"</t>
  </si>
  <si>
    <t>Roth, Miss. Sarah A</t>
  </si>
  <si>
    <t>Cacic, Miss. Manda</t>
  </si>
  <si>
    <t>Sap, Mr. Julius</t>
  </si>
  <si>
    <t>Hee, Mr. Ling</t>
  </si>
  <si>
    <t>Karun, Mr. Franz</t>
  </si>
  <si>
    <t>Franklin, Mr. Thomas Parham</t>
  </si>
  <si>
    <t>D34</t>
  </si>
  <si>
    <t>Goldsmith, Mr. Nathan</t>
  </si>
  <si>
    <t>SOTON/O.Q. 3101263</t>
  </si>
  <si>
    <t>Corbett, Mrs. Walter H (Irene Colvin)</t>
  </si>
  <si>
    <t>Kimball, Mrs. Edwin Nelson Jr (Gertrude Parsons)</t>
  </si>
  <si>
    <t>D19</t>
  </si>
  <si>
    <t>Peltomaki, Mr. Nikolai Johannes</t>
  </si>
  <si>
    <t>STON/O 2. 3101291</t>
  </si>
  <si>
    <t>Chevre, Mr. Paul Romaine</t>
  </si>
  <si>
    <t>PC 17594</t>
  </si>
  <si>
    <t>A9</t>
  </si>
  <si>
    <t>Shaughnessy, Mr. Patrick</t>
  </si>
  <si>
    <t>Bucknell, Mrs. William Robert (Emma Eliza Ward)</t>
  </si>
  <si>
    <t>D15</t>
  </si>
  <si>
    <t>Coutts, Mrs. William (Winnie Minnie" Treanor)"</t>
  </si>
  <si>
    <t>C.A. 37671</t>
  </si>
  <si>
    <t>Smith, Mr. Lucien Philip</t>
  </si>
  <si>
    <t>C31</t>
  </si>
  <si>
    <t>Pulbaum, Mr. Franz</t>
  </si>
  <si>
    <t>SC/PARIS 2168</t>
  </si>
  <si>
    <t>Hocking, Miss. Ellen Nellie""</t>
  </si>
  <si>
    <t>Fortune, Miss. Ethel Flora</t>
  </si>
  <si>
    <t>C23 C25 C27</t>
  </si>
  <si>
    <t>Mangiavacchi, Mr. Serafino Emilio</t>
  </si>
  <si>
    <t>SC/A.3 2861</t>
  </si>
  <si>
    <t>Rice, Master. Albert</t>
  </si>
  <si>
    <t>Cor, Mr. Bartol</t>
  </si>
  <si>
    <t>Abelseth, Mr. Olaus Jorgensen</t>
  </si>
  <si>
    <t>F G63</t>
  </si>
  <si>
    <t>Davison, Mr. Thomas Henry</t>
  </si>
  <si>
    <t>Chaudanson, Miss. Victorine</t>
  </si>
  <si>
    <t>B61</t>
  </si>
  <si>
    <t>Dika, Mr. Mirko</t>
  </si>
  <si>
    <t>McCrae, Mr. Arthur Gordon</t>
  </si>
  <si>
    <t>Bjorklund, Mr. Ernst Herbert</t>
  </si>
  <si>
    <t>Bradley, Miss. Bridget Delia</t>
  </si>
  <si>
    <t>Ryerson, Master. John Borie</t>
  </si>
  <si>
    <t>Corey, Mrs. Percy C (Mary Phyllis Elizabeth Miller)</t>
  </si>
  <si>
    <t>F.C.C. 13534</t>
  </si>
  <si>
    <t>Burns, Miss. Mary Delia</t>
  </si>
  <si>
    <t>Moore, Mr. Clarence Bloomfield</t>
  </si>
  <si>
    <t>Tucker, Mr. Gilbert Milligan Jr</t>
  </si>
  <si>
    <t>C53</t>
  </si>
  <si>
    <t>Fortune, Mrs. Mark (Mary McDougald)</t>
  </si>
  <si>
    <t>Mulvihill, Miss. Bertha E</t>
  </si>
  <si>
    <t>Minkoff, Mr. Lazar</t>
  </si>
  <si>
    <t>Nieminen, Miss. Manta Josefina</t>
  </si>
  <si>
    <t>Ovies y Rodriguez, Mr. Servando</t>
  </si>
  <si>
    <t>PC 17562</t>
  </si>
  <si>
    <t>D43</t>
  </si>
  <si>
    <t>Geiger, Miss. Amalie</t>
  </si>
  <si>
    <t>C130</t>
  </si>
  <si>
    <t>Keeping, Mr. Edwin</t>
  </si>
  <si>
    <t>C132</t>
  </si>
  <si>
    <t>Miles, Mr. Frank</t>
  </si>
  <si>
    <t>Cornell, Mrs. Robert Clifford (Malvina Helen Lamson)</t>
  </si>
  <si>
    <t>C101</t>
  </si>
  <si>
    <t>Aldworth, Mr. Charles Augustus</t>
  </si>
  <si>
    <t>Doyle, Miss. Elizabeth</t>
  </si>
  <si>
    <t>Boulos, Master. Akar</t>
  </si>
  <si>
    <t>Straus, Mr. Isidor</t>
  </si>
  <si>
    <t>PC 17483</t>
  </si>
  <si>
    <t>C55 C57</t>
  </si>
  <si>
    <t>Case, Mr. Howard Brown</t>
  </si>
  <si>
    <t>Demetri, Mr. Marinko</t>
  </si>
  <si>
    <t>Lamb, Mr. John Joseph</t>
  </si>
  <si>
    <t>Khalil, Mr. Betros</t>
  </si>
  <si>
    <t>Barry, Miss. Julia</t>
  </si>
  <si>
    <t>Badman, Miss. Emily Louisa</t>
  </si>
  <si>
    <t>A/4 31416</t>
  </si>
  <si>
    <t>O'Donoghue, Ms. Bridget</t>
  </si>
  <si>
    <t>Wells, Master. Ralph Lester</t>
  </si>
  <si>
    <t>Dyker, Mrs. Adolf Fredrik (Anna Elisabeth Judith Andersson)</t>
  </si>
  <si>
    <t>Pedersen, Mr. Olaf</t>
  </si>
  <si>
    <t>Davidson, Mrs. Thornton (Orian Hays)</t>
  </si>
  <si>
    <t>F.C. 12750</t>
  </si>
  <si>
    <t>B71</t>
  </si>
  <si>
    <t>Guest, Mr. Robert</t>
  </si>
  <si>
    <t>Birnbaum, Mr. Jakob</t>
  </si>
  <si>
    <t>Tenglin, Mr. Gunnar Isidor</t>
  </si>
  <si>
    <t>Cavendish, Mrs. Tyrell William (Julia Florence Siegel)</t>
  </si>
  <si>
    <t>C46</t>
  </si>
  <si>
    <t>Makinen, Mr. Kalle Edvard</t>
  </si>
  <si>
    <t>STON/O 2. 3101268</t>
  </si>
  <si>
    <t>Braf, Miss. Elin Ester Maria</t>
  </si>
  <si>
    <t>Nancarrow, Mr. William Henry</t>
  </si>
  <si>
    <t>A./5. 3338</t>
  </si>
  <si>
    <t>Stengel, Mrs. Charles Emil Henry (Annie May Morris)</t>
  </si>
  <si>
    <t>C116</t>
  </si>
  <si>
    <t>Weisz, Mr. Leopold</t>
  </si>
  <si>
    <t>Foley, Mr. William</t>
  </si>
  <si>
    <t>Johansson Palmquist, Mr. Oskar Leander</t>
  </si>
  <si>
    <t>Thomas, Mrs. Alexander (Thamine Thelma")"</t>
  </si>
  <si>
    <t>Holthen, Mr. Johan Martin</t>
  </si>
  <si>
    <t>C 4001</t>
  </si>
  <si>
    <t>Buckley, Mr. Daniel</t>
  </si>
  <si>
    <t>Ryan, Mr. Edward</t>
  </si>
  <si>
    <t>Willer, Mr. Aaron (Abi Weller")"</t>
  </si>
  <si>
    <t>Swane, Mr. George</t>
  </si>
  <si>
    <t>F</t>
  </si>
  <si>
    <t>Stanton, Mr. Samuel Ward</t>
  </si>
  <si>
    <t>Shine, Miss. Ellen Natalia</t>
  </si>
  <si>
    <t>Evans, Miss. Edith Corse</t>
  </si>
  <si>
    <t>PC 17531</t>
  </si>
  <si>
    <t>A29</t>
  </si>
  <si>
    <t>Buckley, Miss. Katherine</t>
  </si>
  <si>
    <t>Straus, Mrs. Isidor (Rosalie Ida Blun)</t>
  </si>
  <si>
    <t>Chronopoulos, Mr. Demetrios</t>
  </si>
  <si>
    <t>Thomas, Mr. John</t>
  </si>
  <si>
    <t>Sandstrom, Miss. Beatrice Irene</t>
  </si>
  <si>
    <t>PP 9549</t>
  </si>
  <si>
    <t>G6</t>
  </si>
  <si>
    <t>Beattie, Mr. Thomson</t>
  </si>
  <si>
    <t>C6</t>
  </si>
  <si>
    <t>Chapman, Mrs. John Henry (Sara Elizabeth Lawry)</t>
  </si>
  <si>
    <t>SC/AH 29037</t>
  </si>
  <si>
    <t>Watt, Miss. Bertha J</t>
  </si>
  <si>
    <t>C.A. 33595</t>
  </si>
  <si>
    <t>Kiernan, Mr. John</t>
  </si>
  <si>
    <t>Schabert, Mrs. Paul (Emma Mock)</t>
  </si>
  <si>
    <t>C28</t>
  </si>
  <si>
    <t>Carver, Mr. Alfred John</t>
  </si>
  <si>
    <t>Kennedy, Mr. John</t>
  </si>
  <si>
    <t>Cribb, Miss. Laura Alice</t>
  </si>
  <si>
    <t>Brobeck, Mr. Karl Rudolf</t>
  </si>
  <si>
    <t>McCoy, Miss. Alicia</t>
  </si>
  <si>
    <t>Bowenur, Mr. Solomon</t>
  </si>
  <si>
    <t>Petersen, Mr. Marius</t>
  </si>
  <si>
    <t>Spinner, Mr. Henry John</t>
  </si>
  <si>
    <t>STON/OQ. 369943</t>
  </si>
  <si>
    <t>Gracie, Col. Archibald IV</t>
  </si>
  <si>
    <t>C51</t>
  </si>
  <si>
    <t>Lefebre, Mrs. Frank (Frances)</t>
  </si>
  <si>
    <t>Thomas, Mr. Charles P</t>
  </si>
  <si>
    <t>Dintcheff, Mr. Valtcho</t>
  </si>
  <si>
    <t>Carlsson, Mr. Carl Robert</t>
  </si>
  <si>
    <t>Zakarian, Mr. Mapriededer</t>
  </si>
  <si>
    <t>Schmidt, Mr. August</t>
  </si>
  <si>
    <t>Drapkin, Miss. Jennie</t>
  </si>
  <si>
    <t>SOTON/OQ 392083</t>
  </si>
  <si>
    <t>Goodwin, Mr. Charles Frederick</t>
  </si>
  <si>
    <t>CA 2144</t>
  </si>
  <si>
    <t>Goodwin, Miss. Jessie Allis</t>
  </si>
  <si>
    <t>Daniels, Miss. Sarah</t>
  </si>
  <si>
    <t>Ryerson, Mr. Arthur Larned</t>
  </si>
  <si>
    <t>Beauchamp, Mr. Henry James</t>
  </si>
  <si>
    <t>Lindeberg-Lind, Mr. Erik Gustaf (Mr Edward Lingrey")"</t>
  </si>
  <si>
    <t>Vander Planke, Mr. Julius</t>
  </si>
  <si>
    <t>Hilliard, Mr. Herbert Henry</t>
  </si>
  <si>
    <t>E46</t>
  </si>
  <si>
    <t>Davies, Mr. Evan</t>
  </si>
  <si>
    <t>SC/A4 23568</t>
  </si>
  <si>
    <t>Crafton, Mr. John Bertram</t>
  </si>
  <si>
    <t>Lahtinen, Rev. William</t>
  </si>
  <si>
    <t>Earnshaw, Mrs. Boulton (Olive Potter)</t>
  </si>
  <si>
    <t>C54</t>
  </si>
  <si>
    <t>Matinoff, Mr. Nicola</t>
  </si>
  <si>
    <t>Storey, Mr. Thomas</t>
  </si>
  <si>
    <t>Klasen, Mrs. (Hulda Kristina Eugenia Lofqvist)</t>
  </si>
  <si>
    <t>Asplund, Master. Filip Oscar</t>
  </si>
  <si>
    <t>Duquemin, Mr. Joseph</t>
  </si>
  <si>
    <t>S.O./P.P. 752</t>
  </si>
  <si>
    <t>Bird, Miss. Ellen</t>
  </si>
  <si>
    <t>C97</t>
  </si>
  <si>
    <t>Lundin, Miss. Olga Elida</t>
  </si>
  <si>
    <t>Borebank, Mr. John James</t>
  </si>
  <si>
    <t>D22</t>
  </si>
  <si>
    <t>Peacock, Mrs. Benjamin (Edith Nile)</t>
  </si>
  <si>
    <t>SOTON/O.Q. 3101315</t>
  </si>
  <si>
    <t>Smyth, Miss. Julia</t>
  </si>
  <si>
    <t>Touma, Master. Georges Youssef</t>
  </si>
  <si>
    <t>Wright, Miss. Marion</t>
  </si>
  <si>
    <t>Pearce, Mr. Ernest</t>
  </si>
  <si>
    <t>Peruschitz, Rev. Joseph Maria</t>
  </si>
  <si>
    <t>Kink-Heilmann, Mrs. Anton (Luise Heilmann)</t>
  </si>
  <si>
    <t>Brandeis, Mr. Emil</t>
  </si>
  <si>
    <t>PC 17591</t>
  </si>
  <si>
    <t>B10</t>
  </si>
  <si>
    <t>Ford, Mr. Edward Watson</t>
  </si>
  <si>
    <t>W./C. 6608</t>
  </si>
  <si>
    <t>Cassebeer, Mrs. Henry Arthur Jr (Eleanor Genevieve Fosdick)</t>
  </si>
  <si>
    <t>Hellstrom, Miss. Hilda Maria</t>
  </si>
  <si>
    <t>Lithman, Mr. Simon</t>
  </si>
  <si>
    <t>S.O./P.P. 251</t>
  </si>
  <si>
    <t>Zakarian, Mr. Ortin</t>
  </si>
  <si>
    <t>Dyker, Mr. Adolf Fredrik</t>
  </si>
  <si>
    <t>Torfa, Mr. Assad</t>
  </si>
  <si>
    <t>Asplund, Mr. Carl Oscar Vilhelm Gustafsson</t>
  </si>
  <si>
    <t>Brown, Miss. Edith Eileen</t>
  </si>
  <si>
    <t>Sincock, Miss. Maude</t>
  </si>
  <si>
    <t>C.A. 33112</t>
  </si>
  <si>
    <t>Stengel, Mr. Charles Emil Henry</t>
  </si>
  <si>
    <t>Becker, Mrs. Allen Oliver (Nellie E Baumgardner)</t>
  </si>
  <si>
    <t>F4</t>
  </si>
  <si>
    <t>Compton, Mrs. Alexander Taylor (Mary Eliza Ingersoll)</t>
  </si>
  <si>
    <t>PC 17756</t>
  </si>
  <si>
    <t>E45</t>
  </si>
  <si>
    <t>McCrie, Mr. James Matthew</t>
  </si>
  <si>
    <t>Compton, Mr. Alexander Taylor Jr</t>
  </si>
  <si>
    <t>E52</t>
  </si>
  <si>
    <t>Marvin, Mrs. Daniel Warner (Mary Graham Carmichael Farquarson)</t>
  </si>
  <si>
    <t>D30</t>
  </si>
  <si>
    <t>Lane, Mr. Patrick</t>
  </si>
  <si>
    <t>Douglas, Mrs. Frederick Charles (Mary Helene Baxter)</t>
  </si>
  <si>
    <t>PC 17558</t>
  </si>
  <si>
    <t>B58 B60</t>
  </si>
  <si>
    <t>Maybery, Mr. Frank Hubert</t>
  </si>
  <si>
    <t>Phillips, Miss. Alice Frances Louisa</t>
  </si>
  <si>
    <t>S.O./P.P. 2</t>
  </si>
  <si>
    <t>Davies, Mr. Joseph</t>
  </si>
  <si>
    <t>A/4 48873</t>
  </si>
  <si>
    <t>Sage, Miss. Ada</t>
  </si>
  <si>
    <t>CA. 2343</t>
  </si>
  <si>
    <t>Veal, Mr. James</t>
  </si>
  <si>
    <t>Angle, Mr. William A</t>
  </si>
  <si>
    <t>Salomon, Mr. Abraham L</t>
  </si>
  <si>
    <t>van Billiard, Master. Walter John</t>
  </si>
  <si>
    <t>A/5. 851</t>
  </si>
  <si>
    <t>Lingane, Mr. John</t>
  </si>
  <si>
    <t>Drew, Master. Marshall Brines</t>
  </si>
  <si>
    <t>Karlsson, Mr. Julius Konrad Eugen</t>
  </si>
  <si>
    <t>Spedden, Master. Robert Douglas</t>
  </si>
  <si>
    <t>E34</t>
  </si>
  <si>
    <t>Nilsson, Miss. Berta Olivia</t>
  </si>
  <si>
    <t>Baimbrigge, Mr. Charles Robert</t>
  </si>
  <si>
    <t>C.A. 31030</t>
  </si>
  <si>
    <t>Rasmussen, Mrs. (Lena Jacobsen Solvang)</t>
  </si>
  <si>
    <t>Murphy, Miss. Nora</t>
  </si>
  <si>
    <t>Danbom, Master. Gilbert Sigvard Emanuel</t>
  </si>
  <si>
    <t>Astor, Col. John Jacob</t>
  </si>
  <si>
    <t>PC 17757</t>
  </si>
  <si>
    <t>C62 C64</t>
  </si>
  <si>
    <t>Quick, Miss. Winifred Vera</t>
  </si>
  <si>
    <t>Andrew, Mr. Frank Thomas</t>
  </si>
  <si>
    <t>C.A. 34050</t>
  </si>
  <si>
    <t>Omont, Mr. Alfred Fernand</t>
  </si>
  <si>
    <t>F.C. 12998</t>
  </si>
  <si>
    <t>McGowan, Miss. Katherine</t>
  </si>
  <si>
    <t>Collett, Mr. Sidney C Stuart</t>
  </si>
  <si>
    <t>Rosenbaum, Miss. Edith Louise</t>
  </si>
  <si>
    <t>PC 17613</t>
  </si>
  <si>
    <t>A11</t>
  </si>
  <si>
    <t>Delalic, Mr. Redjo</t>
  </si>
  <si>
    <t>Andersen, Mr. Albert Karvin</t>
  </si>
  <si>
    <t>Finoli, Mr. Luigi</t>
  </si>
  <si>
    <t>SOTON/O.Q. 3101308</t>
  </si>
  <si>
    <t>Deacon, Mr. Percy William</t>
  </si>
  <si>
    <t>S.O.C. 14879</t>
  </si>
  <si>
    <t>Howard, Mrs. Benjamin (Ellen Truelove Arman)</t>
  </si>
  <si>
    <t>Andersson, Miss. Ida Augusta Margareta</t>
  </si>
  <si>
    <t>Head, Mr. Christopher</t>
  </si>
  <si>
    <t>B11</t>
  </si>
  <si>
    <t>Mahon, Miss. Bridget Delia</t>
  </si>
  <si>
    <t>Wick, Mr. George Dennick</t>
  </si>
  <si>
    <t>Widener, Mrs. George Dunton (Eleanor Elkins)</t>
  </si>
  <si>
    <t>C80</t>
  </si>
  <si>
    <t>Thomson, Mr. Alexander Morrison</t>
  </si>
  <si>
    <t>Duran y More, Miss. Florentina</t>
  </si>
  <si>
    <t>SC/PARIS 2148</t>
  </si>
  <si>
    <t>Reynolds, Mr. Harold J</t>
  </si>
  <si>
    <t>Cook, Mrs. (Selena Rogers)</t>
  </si>
  <si>
    <t>W./C. 14266</t>
  </si>
  <si>
    <t>F33</t>
  </si>
  <si>
    <t>Karlsson, Mr. Einar Gervasius</t>
  </si>
  <si>
    <t>Candee, Mrs. Edward (Helen Churchill Hungerford)</t>
  </si>
  <si>
    <t>PC 17606</t>
  </si>
  <si>
    <t>Moubarek, Mrs. George (Omine Amenia" Alexander)"</t>
  </si>
  <si>
    <t>Asplund, Mr. Johan Charles</t>
  </si>
  <si>
    <t>McNeill, Miss. Bridget</t>
  </si>
  <si>
    <t>Everett, Mr. Thomas James</t>
  </si>
  <si>
    <t>C.A. 6212</t>
  </si>
  <si>
    <t>Hocking, Mr. Samuel James Metcalfe</t>
  </si>
  <si>
    <t>Sweet, Mr. George Frederick</t>
  </si>
  <si>
    <t>Willard, Miss. Constance</t>
  </si>
  <si>
    <t>Wiklund, Mr. Karl Johan</t>
  </si>
  <si>
    <t>Linehan, Mr. Michael</t>
  </si>
  <si>
    <t>Cumings, Mr. John Bradley</t>
  </si>
  <si>
    <t>PC 17599</t>
  </si>
  <si>
    <t>C85</t>
  </si>
  <si>
    <t>Vendel, Mr. Olof Edvin</t>
  </si>
  <si>
    <t>Warren, Mr. Frank Manley</t>
  </si>
  <si>
    <t>D37</t>
  </si>
  <si>
    <t>Baccos, Mr. Raffull</t>
  </si>
  <si>
    <t>Hiltunen, Miss. Marta</t>
  </si>
  <si>
    <t>Douglas, Mrs. Walter Donald (Mahala Dutton)</t>
  </si>
  <si>
    <t>PC 17761</t>
  </si>
  <si>
    <t>C86</t>
  </si>
  <si>
    <t>Lindstrom, Mrs. Carl Johan (Sigrid Posse)</t>
  </si>
  <si>
    <t>Christy, Mrs. (Alice Frances)</t>
  </si>
  <si>
    <t>Spedden, Mr. Frederic Oakley</t>
  </si>
  <si>
    <t>Hyman, Mr. Abraham</t>
  </si>
  <si>
    <t>Johnston, Master. William Arthur Willie""</t>
  </si>
  <si>
    <t>Kenyon, Mr. Frederick R</t>
  </si>
  <si>
    <t>D21</t>
  </si>
  <si>
    <t>Karnes, Mrs. J Frank (Claire Bennett)</t>
  </si>
  <si>
    <t>Drew, Mr. James Vivian</t>
  </si>
  <si>
    <t>Hold, Mrs. Stephen (Annie Margaret Hill)</t>
  </si>
  <si>
    <t>Khalil, Mrs. Betros (Zahie Maria" Elias)"</t>
  </si>
  <si>
    <t>West, Miss. Barbara J</t>
  </si>
  <si>
    <t>C.A. 34651</t>
  </si>
  <si>
    <t>Abrahamsson, Mr. Abraham August Johannes</t>
  </si>
  <si>
    <t>SOTON/O2 3101284</t>
  </si>
  <si>
    <t>Clark, Mr. Walter Miller</t>
  </si>
  <si>
    <t>C89</t>
  </si>
  <si>
    <t>Salander, Mr. Karl Johan</t>
  </si>
  <si>
    <t>Wenzel, Mr. Linhart</t>
  </si>
  <si>
    <t>MacKay, Mr. George William</t>
  </si>
  <si>
    <t>C.A. 42795</t>
  </si>
  <si>
    <t>Mahon, Mr. John</t>
  </si>
  <si>
    <t>AQ/4 3130</t>
  </si>
  <si>
    <t>Niklasson, Mr. Samuel</t>
  </si>
  <si>
    <t>Bentham, Miss. Lilian W</t>
  </si>
  <si>
    <t>Midtsjo, Mr. Karl Albert</t>
  </si>
  <si>
    <t>de Messemaeker, Mr. Guillaume Joseph</t>
  </si>
  <si>
    <t>Nilsson, Mr. August Ferdinand</t>
  </si>
  <si>
    <t>Wells, Mrs. Arthur Henry (Addie" Dart Trevaskis)"</t>
  </si>
  <si>
    <t>Klasen, Miss. Gertrud Emilia</t>
  </si>
  <si>
    <t>Portaluppi, Mr. Emilio Ilario Giuseppe</t>
  </si>
  <si>
    <t>C.A. 34644</t>
  </si>
  <si>
    <t>Lyntakoff, Mr. Stanko</t>
  </si>
  <si>
    <t>Chisholm, Mr. Roderick Robert Crispin</t>
  </si>
  <si>
    <t>Warren, Mr. Charles William</t>
  </si>
  <si>
    <t>C.A. 49867</t>
  </si>
  <si>
    <t>Howard, Miss. May Elizabeth</t>
  </si>
  <si>
    <t>A. 2. 39186</t>
  </si>
  <si>
    <t>Pokrnic, Mr. Mate</t>
  </si>
  <si>
    <t>McCaffry, Mr. Thomas Francis</t>
  </si>
  <si>
    <t>Fox, Mr. Patrick</t>
  </si>
  <si>
    <t>Clark, Mrs. Walter Miller (Virginia McDowell)</t>
  </si>
  <si>
    <t>Lennon, Miss. Mary</t>
  </si>
  <si>
    <t>Saade, Mr. Jean Nassr</t>
  </si>
  <si>
    <t xml:space="preserve">Bryhl, Miss. Dagmar Jenny Ingeborg </t>
  </si>
  <si>
    <t>Parker, Mr. Clifford Richard</t>
  </si>
  <si>
    <t>SC 14888</t>
  </si>
  <si>
    <t>Faunthorpe, Mr. Harry</t>
  </si>
  <si>
    <t>Ware, Mr. John James</t>
  </si>
  <si>
    <t>CA 31352</t>
  </si>
  <si>
    <t>Oxenham, Mr. Percy Thomas</t>
  </si>
  <si>
    <t>W./C. 14260</t>
  </si>
  <si>
    <t>Oreskovic, Miss. Jelka</t>
  </si>
  <si>
    <t>Peacock, Master. Alfred Edward</t>
  </si>
  <si>
    <t>Fleming, Miss. Honora</t>
  </si>
  <si>
    <t>Touma, Miss. Maria Youssef</t>
  </si>
  <si>
    <t>Rosblom, Miss. Salli Helena</t>
  </si>
  <si>
    <t>Dennis, Mr. William</t>
  </si>
  <si>
    <t>A/5 21175</t>
  </si>
  <si>
    <t>Franklin, Mr. Charles (Charles Fardon)</t>
  </si>
  <si>
    <t>SOTON/O.Q. 3101314</t>
  </si>
  <si>
    <t>Snyder, Mr. John Pillsbury</t>
  </si>
  <si>
    <t>Mardirosian, Mr. Sarkis</t>
  </si>
  <si>
    <t>F E46</t>
  </si>
  <si>
    <t>Ford, Mr. Arthur</t>
  </si>
  <si>
    <t>A/5 1478</t>
  </si>
  <si>
    <t>Rheims, Mr. George Alexander Lucien</t>
  </si>
  <si>
    <t>PC 17607</t>
  </si>
  <si>
    <t>Daly, Miss. Margaret Marcella Maggie""</t>
  </si>
  <si>
    <t>Nasr, Mr. Mustafa</t>
  </si>
  <si>
    <t>Dodge, Dr. Washington</t>
  </si>
  <si>
    <t>A34</t>
  </si>
  <si>
    <t>Wittevrongel, Mr. Camille</t>
  </si>
  <si>
    <t>Angheloff, Mr. Minko</t>
  </si>
  <si>
    <t>Laroche, Miss. Louise</t>
  </si>
  <si>
    <t>SC/Paris 2123</t>
  </si>
  <si>
    <t>Samaan, Mr. Hanna</t>
  </si>
  <si>
    <t>Loring, Mr. Joseph Holland</t>
  </si>
  <si>
    <t>Johansson, Mr. Nils</t>
  </si>
  <si>
    <t>Olsson, Mr. Oscar Wilhelm</t>
  </si>
  <si>
    <t>Malachard, Mr. Noel</t>
  </si>
  <si>
    <t>D</t>
  </si>
  <si>
    <t>Phillips, Mr. Escott Robert</t>
  </si>
  <si>
    <t>Pokrnic, Mr. Tome</t>
  </si>
  <si>
    <t>McCarthy, Miss. Catherine Katie""</t>
  </si>
  <si>
    <t>Crosby, Mrs. Edward Gifford (Catherine Elizabeth Halstead)</t>
  </si>
  <si>
    <t>B26</t>
  </si>
  <si>
    <t>Allison, Mr. Hudson Joshua Creighton</t>
  </si>
  <si>
    <t>C22 C26</t>
  </si>
  <si>
    <t>Aks, Master. Philip Frank</t>
  </si>
  <si>
    <t>Hays, Mr. Charles Melville</t>
  </si>
  <si>
    <t>B69</t>
  </si>
  <si>
    <t>Hansen, Mrs. Claus Peter (Jennie L Howard)</t>
  </si>
  <si>
    <t>Cacic, Mr. Jego Grga</t>
  </si>
  <si>
    <t>Vartanian, Mr. David</t>
  </si>
  <si>
    <t>Sadowitz, Mr. Harry</t>
  </si>
  <si>
    <t>LP 1588</t>
  </si>
  <si>
    <t>Carr, Miss. Jeannie</t>
  </si>
  <si>
    <t>White, Mrs. John Stuart (Ella Holmes)</t>
  </si>
  <si>
    <t>PC 17760</t>
  </si>
  <si>
    <t>C32</t>
  </si>
  <si>
    <t>Hagardon, Miss. Kate</t>
  </si>
  <si>
    <t>AQ/3. 30631</t>
  </si>
  <si>
    <t>Spencer, Mr. William Augustus</t>
  </si>
  <si>
    <t>PC 17569</t>
  </si>
  <si>
    <t>B78</t>
  </si>
  <si>
    <t>Rogers, Mr. Reginald Harry</t>
  </si>
  <si>
    <t>Jonsson, Mr. Nils Hilding</t>
  </si>
  <si>
    <t>Jefferys, Mr. Ernest Wilfred</t>
  </si>
  <si>
    <t>Andersson, Mr. Johan Samuel</t>
  </si>
  <si>
    <t>Krekorian, Mr. Neshan</t>
  </si>
  <si>
    <t>F E57</t>
  </si>
  <si>
    <t>Nesson, Mr. Israel</t>
  </si>
  <si>
    <t>F2</t>
  </si>
  <si>
    <t>Rowe, Mr. Alfred G</t>
  </si>
  <si>
    <t>Kreuchen, Miss. Emilie</t>
  </si>
  <si>
    <t>Assam, Mr. Ali</t>
  </si>
  <si>
    <t>SOTON/O.Q. 3101309</t>
  </si>
  <si>
    <t>Becker, Miss. Ruth Elizabeth</t>
  </si>
  <si>
    <t>Rosenshine, Mr. George (Mr George Thorne")"</t>
  </si>
  <si>
    <t>PC 17585</t>
  </si>
  <si>
    <t>Clarke, Mr. Charles Valentine</t>
  </si>
  <si>
    <t>Enander, Mr. Ingvar</t>
  </si>
  <si>
    <t xml:space="preserve">Davies, Mrs. John Morgan (Elizabeth Agnes Mary White) </t>
  </si>
  <si>
    <t>Dulles, Mr. William Crothers</t>
  </si>
  <si>
    <t>PC 17580</t>
  </si>
  <si>
    <t>A18</t>
  </si>
  <si>
    <t>Thomas, Mr. Tannous</t>
  </si>
  <si>
    <t>Nakid, Mrs. Said (Waika Mary" Mowad)"</t>
  </si>
  <si>
    <t>Cor, Mr. Ivan</t>
  </si>
  <si>
    <t>Maguire, Mr. John Edward</t>
  </si>
  <si>
    <t>C106</t>
  </si>
  <si>
    <t>de Brito, Mr. Jose Joaquim</t>
  </si>
  <si>
    <t>Elias, Mr. Joseph</t>
  </si>
  <si>
    <t>Denbury, Mr. Herbert</t>
  </si>
  <si>
    <t>Betros, Master. Seman</t>
  </si>
  <si>
    <t>Fillbrook, Mr. Joseph Charles</t>
  </si>
  <si>
    <t>C.A. 15185</t>
  </si>
  <si>
    <t>Lundstrom, Mr. Thure Edvin</t>
  </si>
  <si>
    <t>Sage, Mr. John George</t>
  </si>
  <si>
    <t>Cardeza, Mrs. James Warburton Martinez (Charlotte Wardle Drake)</t>
  </si>
  <si>
    <t>PC 17755</t>
  </si>
  <si>
    <t>B51 B53 B55</t>
  </si>
  <si>
    <t>van Billiard, Master. James William</t>
  </si>
  <si>
    <t>Abelseth, Miss. Karen Marie</t>
  </si>
  <si>
    <t>Botsford, Mr. William Hull</t>
  </si>
  <si>
    <t>Whabee, Mrs. George Joseph (Shawneene Abi-Saab)</t>
  </si>
  <si>
    <t>Giles, Mr. Ralph</t>
  </si>
  <si>
    <t>Walcroft, Miss. Nellie</t>
  </si>
  <si>
    <t>F.C.C. 13528</t>
  </si>
  <si>
    <t>Greenfield, Mrs. Leo David (Blanche Strouse)</t>
  </si>
  <si>
    <t>PC 17759</t>
  </si>
  <si>
    <t>D10 D12</t>
  </si>
  <si>
    <t>Stokes, Mr. Philip Joseph</t>
  </si>
  <si>
    <t>F.C.C. 13540</t>
  </si>
  <si>
    <t>Dibden, Mr. William</t>
  </si>
  <si>
    <t>Herman, Mr. Samuel</t>
  </si>
  <si>
    <t>Dean, Miss. Elizabeth Gladys Millvina""</t>
  </si>
  <si>
    <t>Julian, Mr. Henry Forbes</t>
  </si>
  <si>
    <t>E60</t>
  </si>
  <si>
    <t>Brown, Mrs. John Murray (Caroline Lane Lamson)</t>
  </si>
  <si>
    <t>Lockyer, Mr. Edward</t>
  </si>
  <si>
    <t>O'Keefe, Mr. Patrick</t>
  </si>
  <si>
    <t>Lindell, Mrs. Edvard Bengtsson (Elin Gerda Persson)</t>
  </si>
  <si>
    <t>Sage, Master. William Henry</t>
  </si>
  <si>
    <t>Mallet, Mrs. Albert (Antoinette Magnin)</t>
  </si>
  <si>
    <t>S.C./PARIS 2079</t>
  </si>
  <si>
    <t>Ware, Mrs. John James (Florence Louise Long)</t>
  </si>
  <si>
    <t>Strilic, Mr. Ivan</t>
  </si>
  <si>
    <t>Harder, Mrs. George Achilles (Dorothy Annan)</t>
  </si>
  <si>
    <t>E50</t>
  </si>
  <si>
    <t>Sage, Mrs. John (Annie Bullen)</t>
  </si>
  <si>
    <t>Caram, Mr. Joseph</t>
  </si>
  <si>
    <t>Riihivouri, Miss. Susanna Juhantytar Sanni""</t>
  </si>
  <si>
    <t>Gibson, Mrs. Leonard (Pauline C Boeson)</t>
  </si>
  <si>
    <t>Pallas y Castello, Mr. Emilio</t>
  </si>
  <si>
    <t>SC/PARIS 2147</t>
  </si>
  <si>
    <t>Giles, Mr. Edgar</t>
  </si>
  <si>
    <t>Wilson, Miss. Helen Alice</t>
  </si>
  <si>
    <t>E39 E41</t>
  </si>
  <si>
    <t>Ismay, Mr. Joseph Bruce</t>
  </si>
  <si>
    <t>B52 B54 B56</t>
  </si>
  <si>
    <t>Harbeck, Mr. William H</t>
  </si>
  <si>
    <t>Dodge, Mrs. Washington (Ruth Vidaver)</t>
  </si>
  <si>
    <t>Bowen, Miss. Grace Scott</t>
  </si>
  <si>
    <t>Kink, Miss. Maria</t>
  </si>
  <si>
    <t>Cotterill, Mr. Henry Harry""</t>
  </si>
  <si>
    <t>Hipkins, Mr. William Edward</t>
  </si>
  <si>
    <t>C39</t>
  </si>
  <si>
    <t>Asplund, Master. Carl Edgar</t>
  </si>
  <si>
    <t>O'Connor, Mr. Patrick</t>
  </si>
  <si>
    <t>Foley, Mr. Joseph</t>
  </si>
  <si>
    <t>Risien, Mrs. Samuel (Emma)</t>
  </si>
  <si>
    <t>McNamee, Mrs. Neal (Eileen O'Leary)</t>
  </si>
  <si>
    <t>Wheeler, Mr. Edwin Frederick""</t>
  </si>
  <si>
    <t>SC/PARIS 2159</t>
  </si>
  <si>
    <t>Herman, Miss. Kate</t>
  </si>
  <si>
    <t>Aronsson, Mr. Ernst Axel Algot</t>
  </si>
  <si>
    <t>Ashby, Mr. John</t>
  </si>
  <si>
    <t>Canavan, Mr. Patrick</t>
  </si>
  <si>
    <t>Palsson, Master. Paul Folke</t>
  </si>
  <si>
    <t>Payne, Mr. Vivian Ponsonby</t>
  </si>
  <si>
    <t>B24</t>
  </si>
  <si>
    <t>Lines, Mrs. Ernest H (Elizabeth Lindsey James)</t>
  </si>
  <si>
    <t>PC 17592</t>
  </si>
  <si>
    <t>D28</t>
  </si>
  <si>
    <t>Abbott, Master. Eugene Joseph</t>
  </si>
  <si>
    <t>C.A. 2673</t>
  </si>
  <si>
    <t>Gilbert, Mr. William</t>
  </si>
  <si>
    <t>C.A. 30769</t>
  </si>
  <si>
    <t>Kink-Heilmann, Mr. Anton</t>
  </si>
  <si>
    <t>Smith, Mrs. Lucien Philip (Mary Eloise Hughes)</t>
  </si>
  <si>
    <t>Colbert, Mr. Patrick</t>
  </si>
  <si>
    <t>Frolicher-Stehli, Mrs. Maxmillian (Margaretha Emerentia Stehli)</t>
  </si>
  <si>
    <t>B41</t>
  </si>
  <si>
    <t>Larsson-Rondberg, Mr. Edvard A</t>
  </si>
  <si>
    <t>Conlon, Mr. Thomas Henry</t>
  </si>
  <si>
    <t>Bonnell, Miss. Caroline</t>
  </si>
  <si>
    <t>C7</t>
  </si>
  <si>
    <t>Gale, Mr. Harry</t>
  </si>
  <si>
    <t>Gibson, Miss. Dorothy Winifred</t>
  </si>
  <si>
    <t>Carrau, Mr. Jose Pedro</t>
  </si>
  <si>
    <t>Frauenthal, Mr. Isaac Gerald</t>
  </si>
  <si>
    <t>D40</t>
  </si>
  <si>
    <t>Nourney, Mr. Alfred (Baron von Drachstedt")"</t>
  </si>
  <si>
    <t>SC/PARIS 2166</t>
  </si>
  <si>
    <t>D38</t>
  </si>
  <si>
    <t>Ware, Mr. William Jeffery</t>
  </si>
  <si>
    <t>Widener, Mr. George Dunton</t>
  </si>
  <si>
    <t>Riordan, Miss. Johanna Hannah""</t>
  </si>
  <si>
    <t>Peacock, Miss. Treasteall</t>
  </si>
  <si>
    <t>Naughton, Miss. Hannah</t>
  </si>
  <si>
    <t>Minahan, Mrs. William Edward (Lillian E Thorpe)</t>
  </si>
  <si>
    <t>Henriksson, Miss. Jenny Lovisa</t>
  </si>
  <si>
    <t>Spector, Mr. Woolf</t>
  </si>
  <si>
    <t>A.5. 3236</t>
  </si>
  <si>
    <t>Oliva y Ocana, Dona. Fermina</t>
  </si>
  <si>
    <t>PC 17758</t>
  </si>
  <si>
    <t>C105</t>
  </si>
  <si>
    <t>Saether, Mr. Simon Sivertsen</t>
  </si>
  <si>
    <t>SOTON/O.Q. 3101262</t>
  </si>
  <si>
    <t>Ware, Mr. Frederick</t>
  </si>
  <si>
    <t>Peter, Master. Michael J</t>
  </si>
  <si>
    <t>Passenger ID</t>
  </si>
  <si>
    <t>SIBLINGS/SPOUSES</t>
  </si>
  <si>
    <t>PASSENGER CLASS</t>
  </si>
  <si>
    <t>COUNT MALE</t>
  </si>
  <si>
    <t>count female</t>
  </si>
  <si>
    <t>Average_male</t>
  </si>
  <si>
    <t>Average age_all</t>
  </si>
  <si>
    <t>eldest_all</t>
  </si>
  <si>
    <t>eldest_male</t>
  </si>
  <si>
    <t>eldest_female</t>
  </si>
  <si>
    <t>average_female</t>
  </si>
  <si>
    <t>ss</t>
  </si>
  <si>
    <t>330911</t>
  </si>
  <si>
    <t>363272</t>
  </si>
  <si>
    <t>240276</t>
  </si>
  <si>
    <t>315154</t>
  </si>
  <si>
    <t>3101298</t>
  </si>
  <si>
    <t>7538</t>
  </si>
  <si>
    <t>330972</t>
  </si>
  <si>
    <t>248738</t>
  </si>
  <si>
    <t>2657</t>
  </si>
  <si>
    <t>349220</t>
  </si>
  <si>
    <t>694</t>
  </si>
  <si>
    <t>21228</t>
  </si>
  <si>
    <t>24065</t>
  </si>
  <si>
    <t>Sc/Paris 2167</t>
  </si>
  <si>
    <t>233734</t>
  </si>
  <si>
    <t>2692</t>
  </si>
  <si>
    <t>Ston/O2. 3101270</t>
  </si>
  <si>
    <t>2696</t>
  </si>
  <si>
    <t>Pc 17603</t>
  </si>
  <si>
    <t>Pc 17598</t>
  </si>
  <si>
    <t>Pc 17597</t>
  </si>
  <si>
    <t>Pc 17608</t>
  </si>
  <si>
    <t>113509</t>
  </si>
  <si>
    <t>2698</t>
  </si>
  <si>
    <t>113054</t>
  </si>
  <si>
    <t>2662</t>
  </si>
  <si>
    <t>Sc/Ah 3085</t>
  </si>
  <si>
    <t>13236</t>
  </si>
  <si>
    <t>2682</t>
  </si>
  <si>
    <t>342712</t>
  </si>
  <si>
    <t>315087</t>
  </si>
  <si>
    <t>345768</t>
  </si>
  <si>
    <t>1601</t>
  </si>
  <si>
    <t>349256</t>
  </si>
  <si>
    <t>113778</t>
  </si>
  <si>
    <t>Soton/O.Q. 3101263</t>
  </si>
  <si>
    <t>237249</t>
  </si>
  <si>
    <t>11753</t>
  </si>
  <si>
    <t>Ston/O 2. 3101291</t>
  </si>
  <si>
    <t>Pc 17594</t>
  </si>
  <si>
    <t>370374</t>
  </si>
  <si>
    <t>11813</t>
  </si>
  <si>
    <t>13695</t>
  </si>
  <si>
    <t>Sc/Paris 2168</t>
  </si>
  <si>
    <t>29105</t>
  </si>
  <si>
    <t>19950</t>
  </si>
  <si>
    <t>Sc/A.3 2861</t>
  </si>
  <si>
    <t>382652</t>
  </si>
  <si>
    <t>349230</t>
  </si>
  <si>
    <t>348122</t>
  </si>
  <si>
    <t>386525</t>
  </si>
  <si>
    <t>349232</t>
  </si>
  <si>
    <t>237216</t>
  </si>
  <si>
    <t>347090</t>
  </si>
  <si>
    <t>334914</t>
  </si>
  <si>
    <t>330963</t>
  </si>
  <si>
    <t>113796</t>
  </si>
  <si>
    <t>2543</t>
  </si>
  <si>
    <t>382653</t>
  </si>
  <si>
    <t>349211</t>
  </si>
  <si>
    <t>3101297</t>
  </si>
  <si>
    <t>Pc 17562</t>
  </si>
  <si>
    <t>113503</t>
  </si>
  <si>
    <t>359306</t>
  </si>
  <si>
    <t>11770</t>
  </si>
  <si>
    <t>248744</t>
  </si>
  <si>
    <t>368702</t>
  </si>
  <si>
    <t>2678</t>
  </si>
  <si>
    <t>Pc 17483</t>
  </si>
  <si>
    <t>19924</t>
  </si>
  <si>
    <t>349238</t>
  </si>
  <si>
    <t>240261</t>
  </si>
  <si>
    <t>2660</t>
  </si>
  <si>
    <t>330844</t>
  </si>
  <si>
    <t>364856</t>
  </si>
  <si>
    <t>29103</t>
  </si>
  <si>
    <t>347072</t>
  </si>
  <si>
    <t>345498</t>
  </si>
  <si>
    <t>376563</t>
  </si>
  <si>
    <t>13905</t>
  </si>
  <si>
    <t>350033</t>
  </si>
  <si>
    <t>19877</t>
  </si>
  <si>
    <t>Ston/O 2. 3101268</t>
  </si>
  <si>
    <t>347471</t>
  </si>
  <si>
    <t>11778</t>
  </si>
  <si>
    <t>228414</t>
  </si>
  <si>
    <t>365235</t>
  </si>
  <si>
    <t>347070</t>
  </si>
  <si>
    <t>2625</t>
  </si>
  <si>
    <t>330920</t>
  </si>
  <si>
    <t>383162</t>
  </si>
  <si>
    <t>3410</t>
  </si>
  <si>
    <t>248734</t>
  </si>
  <si>
    <t>237734</t>
  </si>
  <si>
    <t>330968</t>
  </si>
  <si>
    <t>Pc 17531</t>
  </si>
  <si>
    <t>329944</t>
  </si>
  <si>
    <t>2680</t>
  </si>
  <si>
    <t>2681</t>
  </si>
  <si>
    <t>Pp 9549</t>
  </si>
  <si>
    <t>13050</t>
  </si>
  <si>
    <t>Sc/Ah 29037</t>
  </si>
  <si>
    <t>367227</t>
  </si>
  <si>
    <t>392095</t>
  </si>
  <si>
    <t>368783</t>
  </si>
  <si>
    <t>371362</t>
  </si>
  <si>
    <t>350045</t>
  </si>
  <si>
    <t>367226</t>
  </si>
  <si>
    <t>211535</t>
  </si>
  <si>
    <t>342441</t>
  </si>
  <si>
    <t>Ston/Oq. 369943</t>
  </si>
  <si>
    <t>113780</t>
  </si>
  <si>
    <t>4133</t>
  </si>
  <si>
    <t>2621</t>
  </si>
  <si>
    <t>349226</t>
  </si>
  <si>
    <t>350409</t>
  </si>
  <si>
    <t>2656</t>
  </si>
  <si>
    <t>248659</t>
  </si>
  <si>
    <t>Soton/Oq 392083</t>
  </si>
  <si>
    <t>Ca 2144</t>
  </si>
  <si>
    <t>113781</t>
  </si>
  <si>
    <t>244358</t>
  </si>
  <si>
    <t>17475</t>
  </si>
  <si>
    <t>345763</t>
  </si>
  <si>
    <t>17463</t>
  </si>
  <si>
    <t>Sc/A4 23568</t>
  </si>
  <si>
    <t>113791</t>
  </si>
  <si>
    <t>250651</t>
  </si>
  <si>
    <t>11767</t>
  </si>
  <si>
    <t>349255</t>
  </si>
  <si>
    <t>3701</t>
  </si>
  <si>
    <t>350405</t>
  </si>
  <si>
    <t>347077</t>
  </si>
  <si>
    <t>347469</t>
  </si>
  <si>
    <t>110489</t>
  </si>
  <si>
    <t>Soton/O.Q. 3101315</t>
  </si>
  <si>
    <t>335432</t>
  </si>
  <si>
    <t>2650</t>
  </si>
  <si>
    <t>220844</t>
  </si>
  <si>
    <t>343271</t>
  </si>
  <si>
    <t>237393</t>
  </si>
  <si>
    <t>315153</t>
  </si>
  <si>
    <t>Pc 17591</t>
  </si>
  <si>
    <t>17770</t>
  </si>
  <si>
    <t>7548</t>
  </si>
  <si>
    <t>2670</t>
  </si>
  <si>
    <t>2673</t>
  </si>
  <si>
    <t>29750</t>
  </si>
  <si>
    <t>230136</t>
  </si>
  <si>
    <t>Pc 17756</t>
  </si>
  <si>
    <t>233478</t>
  </si>
  <si>
    <t>113773</t>
  </si>
  <si>
    <t>7935</t>
  </si>
  <si>
    <t>Pc 17558</t>
  </si>
  <si>
    <t>239059</t>
  </si>
  <si>
    <t>Ca. 2343</t>
  </si>
  <si>
    <t>28221</t>
  </si>
  <si>
    <t>226875</t>
  </si>
  <si>
    <t>111163</t>
  </si>
  <si>
    <t>235509</t>
  </si>
  <si>
    <t>28220</t>
  </si>
  <si>
    <t>347465</t>
  </si>
  <si>
    <t>16966</t>
  </si>
  <si>
    <t>347066</t>
  </si>
  <si>
    <t>65305</t>
  </si>
  <si>
    <t>36568</t>
  </si>
  <si>
    <t>347080</t>
  </si>
  <si>
    <t>Pc 17757</t>
  </si>
  <si>
    <t>26360</t>
  </si>
  <si>
    <t>9232</t>
  </si>
  <si>
    <t>28034</t>
  </si>
  <si>
    <t>Pc 17613</t>
  </si>
  <si>
    <t>349250</t>
  </si>
  <si>
    <t>Soton/O.Q. 3101308</t>
  </si>
  <si>
    <t>347091</t>
  </si>
  <si>
    <t>113038</t>
  </si>
  <si>
    <t>330924</t>
  </si>
  <si>
    <t>36928</t>
  </si>
  <si>
    <t>32302</t>
  </si>
  <si>
    <t>Sc/Paris 2148</t>
  </si>
  <si>
    <t>342684</t>
  </si>
  <si>
    <t>350053</t>
  </si>
  <si>
    <t>Pc 17606</t>
  </si>
  <si>
    <t>2661</t>
  </si>
  <si>
    <t>350054</t>
  </si>
  <si>
    <t>370368</t>
  </si>
  <si>
    <t>242963</t>
  </si>
  <si>
    <t>220845</t>
  </si>
  <si>
    <t>113795</t>
  </si>
  <si>
    <t>3101266</t>
  </si>
  <si>
    <t>330971</t>
  </si>
  <si>
    <t>Pc 17599</t>
  </si>
  <si>
    <t>350416</t>
  </si>
  <si>
    <t>110813</t>
  </si>
  <si>
    <t>2679</t>
  </si>
  <si>
    <t>250650</t>
  </si>
  <si>
    <t>Pc 17761</t>
  </si>
  <si>
    <t>112377</t>
  </si>
  <si>
    <t>237789</t>
  </si>
  <si>
    <t>3470</t>
  </si>
  <si>
    <t>17464</t>
  </si>
  <si>
    <t>26707</t>
  </si>
  <si>
    <t>Soton/O2 3101284</t>
  </si>
  <si>
    <t>13508</t>
  </si>
  <si>
    <t>7266</t>
  </si>
  <si>
    <t>345775</t>
  </si>
  <si>
    <t>Aq/4 3130</t>
  </si>
  <si>
    <t>363611</t>
  </si>
  <si>
    <t>28404</t>
  </si>
  <si>
    <t>345501</t>
  </si>
  <si>
    <t>345572</t>
  </si>
  <si>
    <t>350410</t>
  </si>
  <si>
    <t>349235</t>
  </si>
  <si>
    <t>112051</t>
  </si>
  <si>
    <t>315095</t>
  </si>
  <si>
    <t>368573</t>
  </si>
  <si>
    <t>370371</t>
  </si>
  <si>
    <t>2676</t>
  </si>
  <si>
    <t>236853</t>
  </si>
  <si>
    <t>Sc 14888</t>
  </si>
  <si>
    <t>2926</t>
  </si>
  <si>
    <t>Ca 31352</t>
  </si>
  <si>
    <t>315085</t>
  </si>
  <si>
    <t>364859</t>
  </si>
  <si>
    <t>370129</t>
  </si>
  <si>
    <t>Soton/O.Q. 3101314</t>
  </si>
  <si>
    <t>2655</t>
  </si>
  <si>
    <t>Pc 17607</t>
  </si>
  <si>
    <t>382650</t>
  </si>
  <si>
    <t>2652</t>
  </si>
  <si>
    <t>33638</t>
  </si>
  <si>
    <t>345771</t>
  </si>
  <si>
    <t>349202</t>
  </si>
  <si>
    <t>Sc/Paris 2123</t>
  </si>
  <si>
    <t>113801</t>
  </si>
  <si>
    <t>347467</t>
  </si>
  <si>
    <t>347079</t>
  </si>
  <si>
    <t>237735</t>
  </si>
  <si>
    <t>315092</t>
  </si>
  <si>
    <t>383123</t>
  </si>
  <si>
    <t>112901</t>
  </si>
  <si>
    <t>392091</t>
  </si>
  <si>
    <t>12749</t>
  </si>
  <si>
    <t>350026</t>
  </si>
  <si>
    <t>315091</t>
  </si>
  <si>
    <t>2658</t>
  </si>
  <si>
    <t>Lp 1588</t>
  </si>
  <si>
    <t>368364</t>
  </si>
  <si>
    <t>Pc 17760</t>
  </si>
  <si>
    <t>Aq/3. 30631</t>
  </si>
  <si>
    <t>Pc 17569</t>
  </si>
  <si>
    <t>28004</t>
  </si>
  <si>
    <t>350408</t>
  </si>
  <si>
    <t>347075</t>
  </si>
  <si>
    <t>2654</t>
  </si>
  <si>
    <t>244368</t>
  </si>
  <si>
    <t>113790</t>
  </si>
  <si>
    <t>24160</t>
  </si>
  <si>
    <t>Soton/O.Q. 3101309</t>
  </si>
  <si>
    <t>Pc 17585</t>
  </si>
  <si>
    <t>2003</t>
  </si>
  <si>
    <t>236854</t>
  </si>
  <si>
    <t>Pc 17580</t>
  </si>
  <si>
    <t>2684</t>
  </si>
  <si>
    <t>2653</t>
  </si>
  <si>
    <t>349229</t>
  </si>
  <si>
    <t>110469</t>
  </si>
  <si>
    <t>244360</t>
  </si>
  <si>
    <t>2675</t>
  </si>
  <si>
    <t>2622</t>
  </si>
  <si>
    <t>350403</t>
  </si>
  <si>
    <t>Pc 17755</t>
  </si>
  <si>
    <t>348125</t>
  </si>
  <si>
    <t>237670</t>
  </si>
  <si>
    <t>2688</t>
  </si>
  <si>
    <t>248726</t>
  </si>
  <si>
    <t>Pc 17759</t>
  </si>
  <si>
    <t>113044</t>
  </si>
  <si>
    <t>11769</t>
  </si>
  <si>
    <t>1222</t>
  </si>
  <si>
    <t>368402</t>
  </si>
  <si>
    <t>349910</t>
  </si>
  <si>
    <t>S.C./Paris 2079</t>
  </si>
  <si>
    <t>315083</t>
  </si>
  <si>
    <t>11765</t>
  </si>
  <si>
    <t>2689</t>
  </si>
  <si>
    <t>3101295</t>
  </si>
  <si>
    <t>112378</t>
  </si>
  <si>
    <t>Sc/Paris 2147</t>
  </si>
  <si>
    <t>28133</t>
  </si>
  <si>
    <t>112058</t>
  </si>
  <si>
    <t>248746</t>
  </si>
  <si>
    <t>315152</t>
  </si>
  <si>
    <t>29107</t>
  </si>
  <si>
    <t>680</t>
  </si>
  <si>
    <t>366713</t>
  </si>
  <si>
    <t>330910</t>
  </si>
  <si>
    <t>364498</t>
  </si>
  <si>
    <t>376566</t>
  </si>
  <si>
    <t>Sc/Paris 2159</t>
  </si>
  <si>
    <t>349911</t>
  </si>
  <si>
    <t>244346</t>
  </si>
  <si>
    <t>364858</t>
  </si>
  <si>
    <t>349909</t>
  </si>
  <si>
    <t>Pc 17592</t>
  </si>
  <si>
    <t>371109</t>
  </si>
  <si>
    <t>13567</t>
  </si>
  <si>
    <t>347065</t>
  </si>
  <si>
    <t>21332</t>
  </si>
  <si>
    <t>28664</t>
  </si>
  <si>
    <t>113059</t>
  </si>
  <si>
    <t>17765</t>
  </si>
  <si>
    <t>Sc/Paris 2166</t>
  </si>
  <si>
    <t>28666</t>
  </si>
  <si>
    <t>334915</t>
  </si>
  <si>
    <t>365237</t>
  </si>
  <si>
    <t>19928</t>
  </si>
  <si>
    <t>347086</t>
  </si>
  <si>
    <t>Pc 17758</t>
  </si>
  <si>
    <t>Soton/O.Q. 3101262</t>
  </si>
  <si>
    <t>359309</t>
  </si>
  <si>
    <t>2668</t>
  </si>
  <si>
    <t>CHILD</t>
  </si>
  <si>
    <t>HAD SBLINGS</t>
  </si>
  <si>
    <t>HAD CHILDREN</t>
  </si>
  <si>
    <t>AGEGROUP</t>
  </si>
  <si>
    <t>Row Labels</t>
  </si>
  <si>
    <t>Grand Total</t>
  </si>
  <si>
    <t>Count of Passenger ID</t>
  </si>
  <si>
    <t>ADULT</t>
  </si>
  <si>
    <t>ELDER</t>
  </si>
  <si>
    <t>TEEN</t>
  </si>
  <si>
    <t>YOUTH</t>
  </si>
  <si>
    <t>YES</t>
  </si>
  <si>
    <t>Column Labels</t>
  </si>
  <si>
    <t>SUM</t>
  </si>
  <si>
    <t>MAX</t>
  </si>
  <si>
    <t>AVERAGE</t>
  </si>
  <si>
    <t>MIN</t>
  </si>
  <si>
    <t>Sum of Survived</t>
  </si>
  <si>
    <t>Average of Survived</t>
  </si>
  <si>
    <t>NO</t>
  </si>
  <si>
    <t xml:space="preserve"> </t>
  </si>
  <si>
    <t>Count of Sex</t>
  </si>
  <si>
    <t>Count of Name</t>
  </si>
  <si>
    <t>Total Passenger</t>
  </si>
  <si>
    <t>TOTAL AVERAGE,MINIMUM, AND MAXIMUM FARE PAID</t>
  </si>
  <si>
    <t>AVERAGE AGE OF PASSENGERS</t>
  </si>
  <si>
    <t>Sum of SURVIVED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</si>
</sst>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1"/>
      <color theme="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1"/>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right/>
      <top/>
      <bottom style="thin">
        <color theme="4" tint="0.39997558519241921"/>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1">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0" fontId="18" fillId="0" borderId="0" xfId="0" applyFont="1"/>
    <xf numFmtId="0" fontId="16" fillId="0" borderId="0" xfId="0" applyFont="1"/>
    <xf numFmtId="0" fontId="16" fillId="33" borderId="11" xfId="0" applyFont="1" applyFill="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6" fillId="33" borderId="12" xfId="0" applyFont="1" applyFill="1" applyBorder="1" applyAlignment="1">
      <alignment horizontal="left"/>
    </xf>
    <xf numFmtId="0" fontId="16" fillId="33" borderId="12" xfId="0" applyFont="1" applyFill="1" applyBorder="1"/>
    <xf numFmtId="164" fontId="0" fillId="0" borderId="0" xfId="0" applyNumberFormat="1"/>
    <xf numFmtId="44" fontId="0" fillId="0" borderId="0" xfId="42" applyFont="1"/>
    <xf numFmtId="0" fontId="0" fillId="34" borderId="0" xfId="0" applyFill="1"/>
    <xf numFmtId="0" fontId="19" fillId="35" borderId="0" xfId="0" applyFont="1" applyFill="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13" formatCode="0%"/>
    </dxf>
    <dxf>
      <numFmt numFmtId="13" formatCode="0%"/>
    </dxf>
  </dxfs>
  <tableStyles count="0" defaultTableStyle="TableStyleMedium2" defaultPivotStyle="PivotStyleLight16"/>
  <colors>
    <mruColors>
      <color rgb="FF1C1C1C"/>
      <color rgb="FFFFD700"/>
      <color rgb="FF1E1E2F"/>
      <color rgb="FF2D2D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7.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8.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9.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0.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(1).xlsx]how many passenge in each class!PivotTable2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count of passenger  in each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'how many passenge in each class'!$B$3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5-4673-85AB-3E53C8F187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5-4673-85AB-3E53C8F187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E5-4673-85AB-3E53C8F187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E5-4673-85AB-3E53C8F18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'how many passenge in each class'!$A$4:$A$7</c:f>
              <c:strCache>
                <c:ptCount val="3"/>
                <c:pt idx="0">
                  <c:v>1</c:v>
                </c:pt>
                <c:pt idx="1">
                  <c:v>2</c:v>
                </c:pt>
                <c:pt idx="2">
                  <c:v>3</c:v>
                </c:pt>
              </c:strCache>
            </c:strRef>
          </c:cat>
          <c:val>
            <c:numRef>
              <c:f>'how many passenge in each class'!$B$4:$B$7</c:f>
              <c:numCache>
                <c:formatCode>General</c:formatCode>
                <c:ptCount val="3"/>
                <c:pt idx="0">
                  <c:v>107</c:v>
                </c:pt>
                <c:pt idx="1">
                  <c:v>93</c:v>
                </c:pt>
                <c:pt idx="2">
                  <c:v>218</c:v>
                </c:pt>
              </c:numCache>
            </c:numRef>
          </c:val>
          <c:extLst>
            <c:ext xmlns:c16="http://schemas.microsoft.com/office/drawing/2014/chart" uri="{C3380CC4-5D6E-409C-BE32-E72D297353CC}">
              <c16:uniqueId val="{00000000-8E0C-4A81-AA7C-1F8D3B1DEB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(1).xlsx]count of male and female!PivotTable3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n-lt"/>
              </a:rPr>
              <a:t>count</a:t>
            </a:r>
            <a:r>
              <a:rPr lang="en-US" b="1" baseline="0">
                <a:solidFill>
                  <a:schemeClr val="tx1"/>
                </a:solidFill>
                <a:latin typeface="+mn-lt"/>
              </a:rPr>
              <a:t> of male and female Passengers</a:t>
            </a:r>
            <a:endParaRPr lang="en-US"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male and female'!$B$3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male and female'!$A$4:$A$6</c:f>
              <c:strCache>
                <c:ptCount val="2"/>
                <c:pt idx="0">
                  <c:v>female</c:v>
                </c:pt>
                <c:pt idx="1">
                  <c:v>male</c:v>
                </c:pt>
              </c:strCache>
            </c:strRef>
          </c:cat>
          <c:val>
            <c:numRef>
              <c:f>'count of male and female'!$B$4:$B$6</c:f>
              <c:numCache>
                <c:formatCode>General</c:formatCode>
                <c:ptCount val="2"/>
                <c:pt idx="0">
                  <c:v>152</c:v>
                </c:pt>
                <c:pt idx="1">
                  <c:v>266</c:v>
                </c:pt>
              </c:numCache>
            </c:numRef>
          </c:val>
          <c:extLst>
            <c:ext xmlns:c16="http://schemas.microsoft.com/office/drawing/2014/chart" uri="{C3380CC4-5D6E-409C-BE32-E72D297353CC}">
              <c16:uniqueId val="{00000000-D849-4B96-B41E-4A2DE15FA030}"/>
            </c:ext>
          </c:extLst>
        </c:ser>
        <c:dLbls>
          <c:dLblPos val="outEnd"/>
          <c:showLegendKey val="0"/>
          <c:showVal val="1"/>
          <c:showCatName val="0"/>
          <c:showSerName val="0"/>
          <c:showPercent val="0"/>
          <c:showBubbleSize val="0"/>
        </c:dLbls>
        <c:gapWidth val="219"/>
        <c:overlap val="-27"/>
        <c:axId val="1334036784"/>
        <c:axId val="1334033904"/>
      </c:barChart>
      <c:catAx>
        <c:axId val="13340367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34033904"/>
        <c:crosses val="autoZero"/>
        <c:auto val="1"/>
        <c:lblAlgn val="ctr"/>
        <c:lblOffset val="100"/>
        <c:noMultiLvlLbl val="0"/>
      </c:catAx>
      <c:valAx>
        <c:axId val="1334033904"/>
        <c:scaling>
          <c:orientation val="minMax"/>
        </c:scaling>
        <c:delete val="1"/>
        <c:axPos val="l"/>
        <c:numFmt formatCode="General" sourceLinked="1"/>
        <c:majorTickMark val="out"/>
        <c:minorTickMark val="none"/>
        <c:tickLblPos val="nextTo"/>
        <c:crossAx val="133403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(1).xlsx]passanger in age group!PivotTable6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count of passenger across age group</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'passanger in age group'!$B$3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'passanger in age group'!$A$4:$A$8</c:f>
              <c:strCache>
                <c:ptCount val="4"/>
                <c:pt idx="0">
                  <c:v>ELDER</c:v>
                </c:pt>
                <c:pt idx="1">
                  <c:v>TEEN</c:v>
                </c:pt>
                <c:pt idx="2">
                  <c:v>YOUTH</c:v>
                </c:pt>
                <c:pt idx="3">
                  <c:v>ADULT</c:v>
                </c:pt>
              </c:strCache>
            </c:strRef>
          </c:cat>
          <c:val>
            <c:numRef>
              <c:f>'passanger in age group'!$B$4:$B$8</c:f>
              <c:numCache>
                <c:formatCode>General</c:formatCode>
                <c:ptCount val="4"/>
                <c:pt idx="0">
                  <c:v>14</c:v>
                </c:pt>
                <c:pt idx="1">
                  <c:v>41</c:v>
                </c:pt>
                <c:pt idx="2">
                  <c:v>144</c:v>
                </c:pt>
                <c:pt idx="3">
                  <c:v>219</c:v>
                </c:pt>
              </c:numCache>
            </c:numRef>
          </c:val>
          <c:smooth val="0"/>
          <c:extLst>
            <c:ext xmlns:c16="http://schemas.microsoft.com/office/drawing/2014/chart" uri="{C3380CC4-5D6E-409C-BE32-E72D297353CC}">
              <c16:uniqueId val="{00000000-0D20-404B-B135-50247B7E7453}"/>
            </c:ext>
          </c:extLst>
        </c:ser>
        <c:dLbls>
          <c:dLblPos val="t"/>
          <c:showLegendKey val="0"/>
          <c:showVal val="1"/>
          <c:showCatName val="0"/>
          <c:showSerName val="0"/>
          <c:showPercent val="0"/>
          <c:showBubbleSize val="0"/>
        </c:dLbls>
        <c:smooth val="0"/>
        <c:axId val="784198112"/>
        <c:axId val="784188512"/>
      </c:lineChart>
      <c:catAx>
        <c:axId val="784198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188512"/>
        <c:crosses val="autoZero"/>
        <c:auto val="1"/>
        <c:lblAlgn val="ctr"/>
        <c:lblOffset val="100"/>
        <c:noMultiLvlLbl val="0"/>
      </c:catAx>
      <c:valAx>
        <c:axId val="784188512"/>
        <c:scaling>
          <c:orientation val="minMax"/>
        </c:scaling>
        <c:delete val="1"/>
        <c:axPos val="l"/>
        <c:numFmt formatCode="General" sourceLinked="1"/>
        <c:majorTickMark val="none"/>
        <c:minorTickMark val="none"/>
        <c:tickLblPos val="nextTo"/>
        <c:crossAx val="78419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(1).xlsx]passenger with slibing on board!PivotTable7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count of passenger with slibling on board</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'passenger with slibing on board'!$B$3</c:f>
              <c:strCache>
                <c:ptCount val="1"/>
                <c:pt idx="0">
                  <c:v>Total</c:v>
                </c:pt>
              </c:strCache>
            </c:strRef>
          </c:tx>
          <c:spPr>
            <a:solidFill>
              <a:schemeClr val="accent1"/>
            </a:solidFill>
            <a:ln>
              <a:noFill/>
            </a:ln>
            <a:effectLst/>
          </c:spPr>
          <c:invertIfNegative val="0"/>
          <c:cat>
            <c:strRef>
              <c:f>'passenger with slibing on board'!$A$4:$A$5</c:f>
              <c:strCache>
                <c:ptCount val="1"/>
                <c:pt idx="0">
                  <c:v>YES</c:v>
                </c:pt>
              </c:strCache>
            </c:strRef>
          </c:cat>
          <c:val>
            <c:numRef>
              <c:f>'passenger with slibing on board'!$B$4:$B$5</c:f>
              <c:numCache>
                <c:formatCode>General</c:formatCode>
                <c:ptCount val="1"/>
                <c:pt idx="0">
                  <c:v>135</c:v>
                </c:pt>
              </c:numCache>
            </c:numRef>
          </c:val>
          <c:extLst>
            <c:ext xmlns:c16="http://schemas.microsoft.com/office/drawing/2014/chart" uri="{C3380CC4-5D6E-409C-BE32-E72D297353CC}">
              <c16:uniqueId val="{00000000-C3CC-42EA-A9D4-54DD82BEB269}"/>
            </c:ext>
          </c:extLst>
        </c:ser>
        <c:dLbls>
          <c:showLegendKey val="0"/>
          <c:showVal val="0"/>
          <c:showCatName val="0"/>
          <c:showSerName val="0"/>
          <c:showPercent val="0"/>
          <c:showBubbleSize val="0"/>
        </c:dLbls>
        <c:gapWidth val="182"/>
        <c:axId val="1854945696"/>
        <c:axId val="1844403328"/>
      </c:barChart>
      <c:catAx>
        <c:axId val="1854945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3328"/>
        <c:crosses val="autoZero"/>
        <c:auto val="1"/>
        <c:lblAlgn val="ctr"/>
        <c:lblOffset val="100"/>
        <c:noMultiLvlLbl val="0"/>
      </c:catAx>
      <c:valAx>
        <c:axId val="184440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94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(1).xlsx]BOARED AT EACH LOCATION!PivotTable9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Passenger</a:t>
            </a:r>
            <a:r>
              <a:rPr lang="en-US" sz="1600" b="1" baseline="0">
                <a:solidFill>
                  <a:schemeClr val="tx1"/>
                </a:solidFill>
                <a:latin typeface="+mn-lt"/>
              </a:rPr>
              <a:t> that  embacked at each location</a:t>
            </a:r>
            <a:endParaRPr lang="en-US" sz="1600" b="1">
              <a:solidFill>
                <a:schemeClr val="tx1"/>
              </a:solidFill>
              <a:latin typeface="+mn-lt"/>
            </a:endParaRPr>
          </a:p>
        </c:rich>
      </c:tx>
      <c:layout>
        <c:manualLayout>
          <c:xMode val="edge"/>
          <c:yMode val="edge"/>
          <c:x val="0.1082707786526684"/>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'BOARED AT EACH LOCATION'!$B$3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'BOARED AT EACH LOCATION'!$A$4:$A$7</c:f>
              <c:strCache>
                <c:ptCount val="3"/>
                <c:pt idx="0">
                  <c:v>Q</c:v>
                </c:pt>
                <c:pt idx="1">
                  <c:v>C</c:v>
                </c:pt>
                <c:pt idx="2">
                  <c:v>S</c:v>
                </c:pt>
              </c:strCache>
            </c:strRef>
          </c:cat>
          <c:val>
            <c:numRef>
              <c:f>'BOARED AT EACH LOCATION'!$B$4:$B$7</c:f>
              <c:numCache>
                <c:formatCode>General</c:formatCode>
                <c:ptCount val="3"/>
                <c:pt idx="0">
                  <c:v>46</c:v>
                </c:pt>
                <c:pt idx="1">
                  <c:v>102</c:v>
                </c:pt>
                <c:pt idx="2">
                  <c:v>270</c:v>
                </c:pt>
              </c:numCache>
            </c:numRef>
          </c:val>
          <c:extLst>
            <c:ext xmlns:c16="http://schemas.microsoft.com/office/drawing/2014/chart" uri="{C3380CC4-5D6E-409C-BE32-E72D297353CC}">
              <c16:uniqueId val="{00000000-B6B1-428B-9486-132097FD869E}"/>
            </c:ext>
          </c:extLst>
        </c:ser>
        <c:dLbls>
          <c:dLblPos val="outEnd"/>
          <c:showLegendKey val="0"/>
          <c:showVal val="1"/>
          <c:showCatName val="0"/>
          <c:showSerName val="0"/>
          <c:showPercent val="0"/>
          <c:showBubbleSize val="0"/>
        </c:dLbls>
        <c:gapWidth val="219"/>
        <c:overlap val="-27"/>
        <c:axId val="1535772288"/>
        <c:axId val="1535765088"/>
      </c:barChart>
      <c:catAx>
        <c:axId val="1535772288"/>
        <c:scaling>
          <c:orientation val="minMax"/>
        </c:scaling>
        <c:delete val="1"/>
        <c:axPos val="b"/>
        <c:numFmt formatCode="General" sourceLinked="1"/>
        <c:majorTickMark val="none"/>
        <c:minorTickMark val="none"/>
        <c:tickLblPos val="nextTo"/>
        <c:crossAx val="1535765088"/>
        <c:crosses val="autoZero"/>
        <c:auto val="1"/>
        <c:lblAlgn val="ctr"/>
        <c:lblOffset val="100"/>
        <c:noMultiLvlLbl val="0"/>
      </c:catAx>
      <c:valAx>
        <c:axId val="1535765088"/>
        <c:scaling>
          <c:orientation val="minMax"/>
        </c:scaling>
        <c:delete val="1"/>
        <c:axPos val="l"/>
        <c:numFmt formatCode="General" sourceLinked="1"/>
        <c:majorTickMark val="none"/>
        <c:minorTickMark val="none"/>
        <c:tickLblPos val="nextTo"/>
        <c:crossAx val="153577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(1).xlsx]NUMBER OF MALE AND FEMALE !PivotTable10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Number</a:t>
            </a:r>
            <a:r>
              <a:rPr lang="en-US" sz="1600" b="1" baseline="0">
                <a:solidFill>
                  <a:schemeClr val="tx1"/>
                </a:solidFill>
                <a:latin typeface="+mn-lt"/>
              </a:rPr>
              <a:t> of Male and Female in  each class</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MALE AND FEMALE '!$B$3:$B$4</c:f>
              <c:strCache>
                <c:ptCount val="1"/>
                <c:pt idx="0">
                  <c:v>female</c:v>
                </c:pt>
              </c:strCache>
            </c:strRef>
          </c:tx>
          <c:spPr>
            <a:solidFill>
              <a:schemeClr val="accent1"/>
            </a:solidFill>
            <a:ln>
              <a:noFill/>
            </a:ln>
            <a:effectLst/>
          </c:spPr>
          <c:invertIfNegative val="0"/>
          <c:cat>
            <c:strRef>
              <c:f>'NUMBER OF MALE AND FEMALE '!$A$5:$A$8</c:f>
              <c:strCache>
                <c:ptCount val="3"/>
                <c:pt idx="0">
                  <c:v>1</c:v>
                </c:pt>
                <c:pt idx="1">
                  <c:v>2</c:v>
                </c:pt>
                <c:pt idx="2">
                  <c:v>3</c:v>
                </c:pt>
              </c:strCache>
            </c:strRef>
          </c:cat>
          <c:val>
            <c:numRef>
              <c:f>'NUMBER OF MALE AND FEMALE '!$B$5:$B$8</c:f>
              <c:numCache>
                <c:formatCode>General</c:formatCode>
                <c:ptCount val="3"/>
                <c:pt idx="0">
                  <c:v>50</c:v>
                </c:pt>
                <c:pt idx="1">
                  <c:v>30</c:v>
                </c:pt>
                <c:pt idx="2">
                  <c:v>72</c:v>
                </c:pt>
              </c:numCache>
            </c:numRef>
          </c:val>
          <c:extLst>
            <c:ext xmlns:c16="http://schemas.microsoft.com/office/drawing/2014/chart" uri="{C3380CC4-5D6E-409C-BE32-E72D297353CC}">
              <c16:uniqueId val="{00000000-DA74-4DEF-826D-91823425CC54}"/>
            </c:ext>
          </c:extLst>
        </c:ser>
        <c:ser>
          <c:idx val="1"/>
          <c:order val="1"/>
          <c:tx>
            <c:strRef>
              <c:f>'NUMBER OF MALE AND FEMALE '!$C$3:$C$4</c:f>
              <c:strCache>
                <c:ptCount val="1"/>
                <c:pt idx="0">
                  <c:v>male</c:v>
                </c:pt>
              </c:strCache>
            </c:strRef>
          </c:tx>
          <c:spPr>
            <a:solidFill>
              <a:schemeClr val="accent2"/>
            </a:solidFill>
            <a:ln>
              <a:noFill/>
            </a:ln>
            <a:effectLst/>
          </c:spPr>
          <c:invertIfNegative val="0"/>
          <c:cat>
            <c:strRef>
              <c:f>'NUMBER OF MALE AND FEMALE '!$A$5:$A$8</c:f>
              <c:strCache>
                <c:ptCount val="3"/>
                <c:pt idx="0">
                  <c:v>1</c:v>
                </c:pt>
                <c:pt idx="1">
                  <c:v>2</c:v>
                </c:pt>
                <c:pt idx="2">
                  <c:v>3</c:v>
                </c:pt>
              </c:strCache>
            </c:strRef>
          </c:cat>
          <c:val>
            <c:numRef>
              <c:f>'NUMBER OF MALE AND FEMALE '!$C$5:$C$8</c:f>
              <c:numCache>
                <c:formatCode>General</c:formatCode>
                <c:ptCount val="3"/>
                <c:pt idx="0">
                  <c:v>57</c:v>
                </c:pt>
                <c:pt idx="1">
                  <c:v>63</c:v>
                </c:pt>
                <c:pt idx="2">
                  <c:v>146</c:v>
                </c:pt>
              </c:numCache>
            </c:numRef>
          </c:val>
          <c:extLst>
            <c:ext xmlns:c16="http://schemas.microsoft.com/office/drawing/2014/chart" uri="{C3380CC4-5D6E-409C-BE32-E72D297353CC}">
              <c16:uniqueId val="{00000001-DA74-4DEF-826D-91823425CC54}"/>
            </c:ext>
          </c:extLst>
        </c:ser>
        <c:dLbls>
          <c:showLegendKey val="0"/>
          <c:showVal val="0"/>
          <c:showCatName val="0"/>
          <c:showSerName val="0"/>
          <c:showPercent val="0"/>
          <c:showBubbleSize val="0"/>
        </c:dLbls>
        <c:gapWidth val="219"/>
        <c:overlap val="-27"/>
        <c:axId val="1535774208"/>
        <c:axId val="1535774688"/>
      </c:barChart>
      <c:catAx>
        <c:axId val="1535774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774688"/>
        <c:crosses val="autoZero"/>
        <c:auto val="1"/>
        <c:lblAlgn val="ctr"/>
        <c:lblOffset val="100"/>
        <c:noMultiLvlLbl val="0"/>
      </c:catAx>
      <c:valAx>
        <c:axId val="1535774688"/>
        <c:scaling>
          <c:orientation val="minMax"/>
        </c:scaling>
        <c:delete val="1"/>
        <c:axPos val="l"/>
        <c:numFmt formatCode="General" sourceLinked="1"/>
        <c:majorTickMark val="none"/>
        <c:minorTickMark val="none"/>
        <c:tickLblPos val="nextTo"/>
        <c:crossAx val="153577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(1).xlsx]count of survived passengers!PivotTable1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Count</a:t>
            </a:r>
            <a:r>
              <a:rPr lang="en-US" sz="1600" b="1" baseline="0">
                <a:solidFill>
                  <a:schemeClr val="tx1"/>
                </a:solidFill>
                <a:latin typeface="+mn-lt"/>
              </a:rPr>
              <a:t> of survived passengers</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survived passengers'!$B$3</c:f>
              <c:strCache>
                <c:ptCount val="1"/>
                <c:pt idx="0">
                  <c:v>Total</c:v>
                </c:pt>
              </c:strCache>
            </c:strRef>
          </c:tx>
          <c:spPr>
            <a:solidFill>
              <a:schemeClr val="accent1"/>
            </a:solidFill>
            <a:ln>
              <a:noFill/>
            </a:ln>
            <a:effectLst/>
          </c:spPr>
          <c:invertIfNegative val="0"/>
          <c:cat>
            <c:strRef>
              <c:f>'count of survived passengers'!$A$4:$A$6</c:f>
              <c:strCache>
                <c:ptCount val="2"/>
                <c:pt idx="0">
                  <c:v>0</c:v>
                </c:pt>
                <c:pt idx="1">
                  <c:v>1</c:v>
                </c:pt>
              </c:strCache>
            </c:strRef>
          </c:cat>
          <c:val>
            <c:numRef>
              <c:f>'count of survived passengers'!$B$4:$B$6</c:f>
              <c:numCache>
                <c:formatCode>General</c:formatCode>
                <c:ptCount val="2"/>
                <c:pt idx="0">
                  <c:v>266</c:v>
                </c:pt>
                <c:pt idx="1">
                  <c:v>152</c:v>
                </c:pt>
              </c:numCache>
            </c:numRef>
          </c:val>
          <c:extLst>
            <c:ext xmlns:c16="http://schemas.microsoft.com/office/drawing/2014/chart" uri="{C3380CC4-5D6E-409C-BE32-E72D297353CC}">
              <c16:uniqueId val="{00000000-659C-455E-BA31-CAF9D15E91A1}"/>
            </c:ext>
          </c:extLst>
        </c:ser>
        <c:dLbls>
          <c:showLegendKey val="0"/>
          <c:showVal val="0"/>
          <c:showCatName val="0"/>
          <c:showSerName val="0"/>
          <c:showPercent val="0"/>
          <c:showBubbleSize val="0"/>
        </c:dLbls>
        <c:gapWidth val="219"/>
        <c:overlap val="-27"/>
        <c:axId val="468504144"/>
        <c:axId val="468506544"/>
      </c:barChart>
      <c:catAx>
        <c:axId val="46850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06544"/>
        <c:crosses val="autoZero"/>
        <c:auto val="1"/>
        <c:lblAlgn val="ctr"/>
        <c:lblOffset val="100"/>
        <c:noMultiLvlLbl val="0"/>
      </c:catAx>
      <c:valAx>
        <c:axId val="468506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0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(1).xlsx]passenger that survive m,f!PivotTable2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latin typeface="+mn-lt"/>
              </a:rPr>
              <a:t> Survive male/female</a:t>
            </a:r>
            <a:endParaRPr lang="en-US" sz="1800"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'passenger that survive m,f'!$B$3</c:f>
              <c:strCache>
                <c:ptCount val="1"/>
                <c:pt idx="0">
                  <c:v>Total</c:v>
                </c:pt>
              </c:strCache>
            </c:strRef>
          </c:tx>
          <c:spPr>
            <a:solidFill>
              <a:schemeClr val="accent1"/>
            </a:solidFill>
            <a:ln>
              <a:noFill/>
            </a:ln>
            <a:effectLst/>
          </c:spPr>
          <c:invertIfNegative val="0"/>
          <c:cat>
            <c:strRef>
              <c:f>'passenger that survive m,f'!$A$4:$A$6</c:f>
              <c:strCache>
                <c:ptCount val="2"/>
                <c:pt idx="0">
                  <c:v>female</c:v>
                </c:pt>
                <c:pt idx="1">
                  <c:v>male</c:v>
                </c:pt>
              </c:strCache>
            </c:strRef>
          </c:cat>
          <c:val>
            <c:numRef>
              <c:f>'passenger that survive m,f'!$B$4:$B$6</c:f>
              <c:numCache>
                <c:formatCode>General</c:formatCode>
                <c:ptCount val="2"/>
                <c:pt idx="0">
                  <c:v>152</c:v>
                </c:pt>
                <c:pt idx="1">
                  <c:v>0</c:v>
                </c:pt>
              </c:numCache>
            </c:numRef>
          </c:val>
          <c:extLst>
            <c:ext xmlns:c16="http://schemas.microsoft.com/office/drawing/2014/chart" uri="{C3380CC4-5D6E-409C-BE32-E72D297353CC}">
              <c16:uniqueId val="{00000000-C606-4FB5-8E2B-23D5E9F2E45B}"/>
            </c:ext>
          </c:extLst>
        </c:ser>
        <c:dLbls>
          <c:showLegendKey val="0"/>
          <c:showVal val="0"/>
          <c:showCatName val="0"/>
          <c:showSerName val="0"/>
          <c:showPercent val="0"/>
          <c:showBubbleSize val="0"/>
        </c:dLbls>
        <c:gapWidth val="219"/>
        <c:overlap val="-27"/>
        <c:axId val="60712080"/>
        <c:axId val="60712560"/>
      </c:barChart>
      <c:catAx>
        <c:axId val="607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560"/>
        <c:crosses val="autoZero"/>
        <c:auto val="1"/>
        <c:lblAlgn val="ctr"/>
        <c:lblOffset val="100"/>
        <c:noMultiLvlLbl val="0"/>
      </c:catAx>
      <c:valAx>
        <c:axId val="6071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(1).xlsx]sum of survival in each class!PivotTable3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mn-lt"/>
              </a:rPr>
              <a:t> Survival in Each class</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survival in each class'!$B$3</c:f>
              <c:strCache>
                <c:ptCount val="1"/>
                <c:pt idx="0">
                  <c:v>Total</c:v>
                </c:pt>
              </c:strCache>
            </c:strRef>
          </c:tx>
          <c:spPr>
            <a:solidFill>
              <a:schemeClr val="accent1"/>
            </a:solidFill>
            <a:ln>
              <a:noFill/>
            </a:ln>
            <a:effectLst/>
          </c:spPr>
          <c:invertIfNegative val="0"/>
          <c:cat>
            <c:strRef>
              <c:f>'sum of survival in each class'!$A$4:$A$7</c:f>
              <c:strCache>
                <c:ptCount val="3"/>
                <c:pt idx="0">
                  <c:v>1</c:v>
                </c:pt>
                <c:pt idx="1">
                  <c:v>2</c:v>
                </c:pt>
                <c:pt idx="2">
                  <c:v>3</c:v>
                </c:pt>
              </c:strCache>
            </c:strRef>
          </c:cat>
          <c:val>
            <c:numRef>
              <c:f>'sum of survival in each class'!$B$4:$B$7</c:f>
              <c:numCache>
                <c:formatCode>General</c:formatCode>
                <c:ptCount val="3"/>
                <c:pt idx="0">
                  <c:v>50</c:v>
                </c:pt>
                <c:pt idx="1">
                  <c:v>30</c:v>
                </c:pt>
                <c:pt idx="2">
                  <c:v>72</c:v>
                </c:pt>
              </c:numCache>
            </c:numRef>
          </c:val>
          <c:extLst>
            <c:ext xmlns:c16="http://schemas.microsoft.com/office/drawing/2014/chart" uri="{C3380CC4-5D6E-409C-BE32-E72D297353CC}">
              <c16:uniqueId val="{00000000-453E-436E-ADB8-97634B699642}"/>
            </c:ext>
          </c:extLst>
        </c:ser>
        <c:dLbls>
          <c:showLegendKey val="0"/>
          <c:showVal val="0"/>
          <c:showCatName val="0"/>
          <c:showSerName val="0"/>
          <c:showPercent val="0"/>
          <c:showBubbleSize val="0"/>
        </c:dLbls>
        <c:gapWidth val="219"/>
        <c:overlap val="-27"/>
        <c:axId val="1843924336"/>
        <c:axId val="62614512"/>
      </c:barChart>
      <c:catAx>
        <c:axId val="1843924336"/>
        <c:scaling>
          <c:orientation val="minMax"/>
        </c:scaling>
        <c:delete val="1"/>
        <c:axPos val="b"/>
        <c:numFmt formatCode="General" sourceLinked="1"/>
        <c:majorTickMark val="none"/>
        <c:minorTickMark val="none"/>
        <c:tickLblPos val="nextTo"/>
        <c:crossAx val="62614512"/>
        <c:crosses val="autoZero"/>
        <c:auto val="1"/>
        <c:lblAlgn val="ctr"/>
        <c:lblOffset val="100"/>
        <c:noMultiLvlLbl val="0"/>
      </c:catAx>
      <c:valAx>
        <c:axId val="62614512"/>
        <c:scaling>
          <c:orientation val="minMax"/>
        </c:scaling>
        <c:delete val="1"/>
        <c:axPos val="l"/>
        <c:numFmt formatCode="General" sourceLinked="1"/>
        <c:majorTickMark val="none"/>
        <c:minorTickMark val="none"/>
        <c:tickLblPos val="nextTo"/>
        <c:crossAx val="1843924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(1).xlsx]survival by age group!PivotTable4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latin typeface="+mn-lt"/>
              </a:rPr>
              <a:t> survival by age group</a:t>
            </a:r>
            <a:endParaRPr lang="en-US" sz="18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by age group'!$B$3</c:f>
              <c:strCache>
                <c:ptCount val="1"/>
                <c:pt idx="0">
                  <c:v>Total</c:v>
                </c:pt>
              </c:strCache>
            </c:strRef>
          </c:tx>
          <c:spPr>
            <a:solidFill>
              <a:schemeClr val="accent1"/>
            </a:solidFill>
            <a:ln>
              <a:noFill/>
            </a:ln>
            <a:effectLst/>
          </c:spPr>
          <c:invertIfNegative val="0"/>
          <c:cat>
            <c:strRef>
              <c:f>'survival by age group'!$A$4:$A$8</c:f>
              <c:strCache>
                <c:ptCount val="4"/>
                <c:pt idx="0">
                  <c:v>ADULT</c:v>
                </c:pt>
                <c:pt idx="1">
                  <c:v>ELDER</c:v>
                </c:pt>
                <c:pt idx="2">
                  <c:v>TEEN</c:v>
                </c:pt>
                <c:pt idx="3">
                  <c:v>YOUTH</c:v>
                </c:pt>
              </c:strCache>
            </c:strRef>
          </c:cat>
          <c:val>
            <c:numRef>
              <c:f>'survival by age group'!$B$4:$B$8</c:f>
              <c:numCache>
                <c:formatCode>General</c:formatCode>
                <c:ptCount val="4"/>
                <c:pt idx="0">
                  <c:v>74</c:v>
                </c:pt>
                <c:pt idx="1">
                  <c:v>7</c:v>
                </c:pt>
                <c:pt idx="2">
                  <c:v>17</c:v>
                </c:pt>
                <c:pt idx="3">
                  <c:v>54</c:v>
                </c:pt>
              </c:numCache>
            </c:numRef>
          </c:val>
          <c:extLst>
            <c:ext xmlns:c16="http://schemas.microsoft.com/office/drawing/2014/chart" uri="{C3380CC4-5D6E-409C-BE32-E72D297353CC}">
              <c16:uniqueId val="{00000000-CB6B-4EDD-B675-C010AB694439}"/>
            </c:ext>
          </c:extLst>
        </c:ser>
        <c:dLbls>
          <c:showLegendKey val="0"/>
          <c:showVal val="0"/>
          <c:showCatName val="0"/>
          <c:showSerName val="0"/>
          <c:showPercent val="0"/>
          <c:showBubbleSize val="0"/>
        </c:dLbls>
        <c:gapWidth val="219"/>
        <c:overlap val="-27"/>
        <c:axId val="1844408128"/>
        <c:axId val="1854944736"/>
      </c:barChart>
      <c:catAx>
        <c:axId val="184440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944736"/>
        <c:crosses val="autoZero"/>
        <c:auto val="1"/>
        <c:lblAlgn val="ctr"/>
        <c:lblOffset val="100"/>
        <c:noMultiLvlLbl val="0"/>
      </c:catAx>
      <c:valAx>
        <c:axId val="1854944736"/>
        <c:scaling>
          <c:orientation val="minMax"/>
        </c:scaling>
        <c:delete val="1"/>
        <c:axPos val="l"/>
        <c:numFmt formatCode="General" sourceLinked="1"/>
        <c:majorTickMark val="none"/>
        <c:minorTickMark val="none"/>
        <c:tickLblPos val="nextTo"/>
        <c:crossAx val="184440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 survived passenger embarked !PivotTable5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 Survived passenger embarked from locat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 survived passenger embarked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65-4F48-A3D4-1A7A6B2E56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65-4F48-A3D4-1A7A6B2E56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65-4F48-A3D4-1A7A6B2E56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survived passenger embarked '!$A$4:$A$7</c:f>
              <c:strCache>
                <c:ptCount val="3"/>
                <c:pt idx="0">
                  <c:v>C</c:v>
                </c:pt>
                <c:pt idx="1">
                  <c:v>Q</c:v>
                </c:pt>
                <c:pt idx="2">
                  <c:v>S</c:v>
                </c:pt>
              </c:strCache>
            </c:strRef>
          </c:cat>
          <c:val>
            <c:numRef>
              <c:f>' survived passenger embarked '!$B$4:$B$7</c:f>
              <c:numCache>
                <c:formatCode>General</c:formatCode>
                <c:ptCount val="3"/>
                <c:pt idx="0">
                  <c:v>40</c:v>
                </c:pt>
                <c:pt idx="1">
                  <c:v>24</c:v>
                </c:pt>
                <c:pt idx="2">
                  <c:v>88</c:v>
                </c:pt>
              </c:numCache>
            </c:numRef>
          </c:val>
          <c:extLst>
            <c:ext xmlns:c16="http://schemas.microsoft.com/office/drawing/2014/chart" uri="{C3380CC4-5D6E-409C-BE32-E72D297353CC}">
              <c16:uniqueId val="{00000000-D268-447E-968A-1E5EF31516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(1).xlsx]sum of survival by gender!PivotTable6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latin typeface="+mn-lt"/>
              </a:rPr>
              <a:t> Average survival by gender</a:t>
            </a:r>
            <a:endParaRPr lang="en-US" sz="18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'sum of survival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D7-461E-80EC-522ED440E5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D7-461E-80EC-522ED440E5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D7-461E-80EC-522ED440E5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D7-461E-80EC-522ED440E5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D7-461E-80EC-522ED440E5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7D7-461E-80EC-522ED440E5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'sum of survival by gender'!$A$4:$A$13</c:f>
              <c:multiLvlStrCache>
                <c:ptCount val="6"/>
                <c:lvl>
                  <c:pt idx="0">
                    <c:v>female</c:v>
                  </c:pt>
                  <c:pt idx="1">
                    <c:v>male</c:v>
                  </c:pt>
                  <c:pt idx="2">
                    <c:v>female</c:v>
                  </c:pt>
                  <c:pt idx="3">
                    <c:v>male</c:v>
                  </c:pt>
                  <c:pt idx="4">
                    <c:v>female</c:v>
                  </c:pt>
                  <c:pt idx="5">
                    <c:v>male</c:v>
                  </c:pt>
                </c:lvl>
                <c:lvl>
                  <c:pt idx="0">
                    <c:v>1</c:v>
                  </c:pt>
                  <c:pt idx="2">
                    <c:v>2</c:v>
                  </c:pt>
                  <c:pt idx="4">
                    <c:v>3</c:v>
                  </c:pt>
                </c:lvl>
              </c:multiLvlStrCache>
            </c:multiLvlStrRef>
          </c:cat>
          <c:val>
            <c:numRef>
              <c:f>'sum of survival by gender'!$B$4:$B$13</c:f>
              <c:numCache>
                <c:formatCode>0%</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0-17BA-46D4-95B4-08F22F373E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(1).xlsx]average survival by agegroup!PivotTable7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Average</a:t>
            </a:r>
            <a:r>
              <a:rPr lang="en-US" sz="1600" b="1" baseline="0">
                <a:solidFill>
                  <a:schemeClr val="tx1"/>
                </a:solidFill>
                <a:latin typeface="+mn-lt"/>
              </a:rPr>
              <a:t>  survival by age group</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survival by agegroup'!$B$3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survival by agegroup'!$A$4:$A$16</c:f>
              <c:multiLvlStrCache>
                <c:ptCount val="8"/>
                <c:lvl>
                  <c:pt idx="0">
                    <c:v>female</c:v>
                  </c:pt>
                  <c:pt idx="1">
                    <c:v>male</c:v>
                  </c:pt>
                  <c:pt idx="2">
                    <c:v>female</c:v>
                  </c:pt>
                  <c:pt idx="3">
                    <c:v>male</c:v>
                  </c:pt>
                  <c:pt idx="4">
                    <c:v>female</c:v>
                  </c:pt>
                  <c:pt idx="5">
                    <c:v>male</c:v>
                  </c:pt>
                  <c:pt idx="6">
                    <c:v>female</c:v>
                  </c:pt>
                  <c:pt idx="7">
                    <c:v>male</c:v>
                  </c:pt>
                </c:lvl>
                <c:lvl>
                  <c:pt idx="0">
                    <c:v>ADULT</c:v>
                  </c:pt>
                  <c:pt idx="2">
                    <c:v>ELDER</c:v>
                  </c:pt>
                  <c:pt idx="4">
                    <c:v>TEEN</c:v>
                  </c:pt>
                  <c:pt idx="6">
                    <c:v>YOUTH</c:v>
                  </c:pt>
                </c:lvl>
              </c:multiLvlStrCache>
            </c:multiLvlStrRef>
          </c:cat>
          <c:val>
            <c:numRef>
              <c:f>'average survival by agegroup'!$B$4:$B$16</c:f>
              <c:numCache>
                <c:formatCode>0%</c:formatCode>
                <c:ptCount val="8"/>
                <c:pt idx="0">
                  <c:v>1</c:v>
                </c:pt>
                <c:pt idx="1">
                  <c:v>0</c:v>
                </c:pt>
                <c:pt idx="2">
                  <c:v>1</c:v>
                </c:pt>
                <c:pt idx="3">
                  <c:v>0</c:v>
                </c:pt>
                <c:pt idx="4">
                  <c:v>1</c:v>
                </c:pt>
                <c:pt idx="5">
                  <c:v>0</c:v>
                </c:pt>
                <c:pt idx="6">
                  <c:v>1</c:v>
                </c:pt>
                <c:pt idx="7">
                  <c:v>0</c:v>
                </c:pt>
              </c:numCache>
            </c:numRef>
          </c:val>
          <c:extLst>
            <c:ext xmlns:c16="http://schemas.microsoft.com/office/drawing/2014/chart" uri="{C3380CC4-5D6E-409C-BE32-E72D297353CC}">
              <c16:uniqueId val="{00000000-36D3-4768-9CED-BE96A6EDE907}"/>
            </c:ext>
          </c:extLst>
        </c:ser>
        <c:dLbls>
          <c:dLblPos val="outEnd"/>
          <c:showLegendKey val="0"/>
          <c:showVal val="1"/>
          <c:showCatName val="0"/>
          <c:showSerName val="0"/>
          <c:showPercent val="0"/>
          <c:showBubbleSize val="0"/>
        </c:dLbls>
        <c:gapWidth val="219"/>
        <c:overlap val="-27"/>
        <c:axId val="468499344"/>
        <c:axId val="468494064"/>
      </c:barChart>
      <c:catAx>
        <c:axId val="468499344"/>
        <c:scaling>
          <c:orientation val="minMax"/>
        </c:scaling>
        <c:delete val="1"/>
        <c:axPos val="b"/>
        <c:numFmt formatCode="General" sourceLinked="1"/>
        <c:majorTickMark val="none"/>
        <c:minorTickMark val="none"/>
        <c:tickLblPos val="nextTo"/>
        <c:crossAx val="468494064"/>
        <c:crosses val="autoZero"/>
        <c:auto val="1"/>
        <c:lblAlgn val="ctr"/>
        <c:lblOffset val="100"/>
        <c:noMultiLvlLbl val="0"/>
      </c:catAx>
      <c:valAx>
        <c:axId val="468494064"/>
        <c:scaling>
          <c:orientation val="minMax"/>
        </c:scaling>
        <c:delete val="1"/>
        <c:axPos val="l"/>
        <c:numFmt formatCode="0%" sourceLinked="1"/>
        <c:majorTickMark val="none"/>
        <c:minorTickMark val="none"/>
        <c:tickLblPos val="nextTo"/>
        <c:crossAx val="46849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(1).xlsx]PASSENGER WITH CHILDREN ON BOAR!PivotTable9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Passengers</a:t>
            </a:r>
            <a:r>
              <a:rPr lang="en-US" sz="1600" b="1" baseline="0">
                <a:solidFill>
                  <a:schemeClr val="tx1"/>
                </a:solidFill>
                <a:latin typeface="+mn-lt"/>
              </a:rPr>
              <a:t> with chiIdren</a:t>
            </a:r>
          </a:p>
          <a:p>
            <a:pPr>
              <a:defRPr/>
            </a:pPr>
            <a:r>
              <a:rPr lang="en-US" sz="1600" b="1" baseline="0">
                <a:solidFill>
                  <a:schemeClr val="tx1"/>
                </a:solidFill>
                <a:latin typeface="+mn-lt"/>
              </a:rPr>
              <a:t> on board</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'PASSENGER WITH CHILDREN ON BOAR'!$B$3</c:f>
              <c:strCache>
                <c:ptCount val="1"/>
                <c:pt idx="0">
                  <c:v>Total</c:v>
                </c:pt>
              </c:strCache>
            </c:strRef>
          </c:tx>
          <c:spPr>
            <a:solidFill>
              <a:schemeClr val="accent1"/>
            </a:solidFill>
            <a:ln>
              <a:noFill/>
            </a:ln>
            <a:effectLst/>
          </c:spPr>
          <c:invertIfNegative val="0"/>
          <c:cat>
            <c:strRef>
              <c:f>'PASSENGER WITH CHILDREN ON BOAR'!$A$4:$A$6</c:f>
              <c:strCache>
                <c:ptCount val="2"/>
                <c:pt idx="0">
                  <c:v>NO</c:v>
                </c:pt>
                <c:pt idx="1">
                  <c:v>YES</c:v>
                </c:pt>
              </c:strCache>
            </c:strRef>
          </c:cat>
          <c:val>
            <c:numRef>
              <c:f>'PASSENGER WITH CHILDREN ON BOAR'!$B$4:$B$6</c:f>
              <c:numCache>
                <c:formatCode>General</c:formatCode>
                <c:ptCount val="2"/>
                <c:pt idx="0">
                  <c:v>377</c:v>
                </c:pt>
                <c:pt idx="1">
                  <c:v>41</c:v>
                </c:pt>
              </c:numCache>
            </c:numRef>
          </c:val>
          <c:extLst>
            <c:ext xmlns:c16="http://schemas.microsoft.com/office/drawing/2014/chart" uri="{C3380CC4-5D6E-409C-BE32-E72D297353CC}">
              <c16:uniqueId val="{00000000-4C58-4366-9E6F-9932D9E2093A}"/>
            </c:ext>
          </c:extLst>
        </c:ser>
        <c:dLbls>
          <c:showLegendKey val="0"/>
          <c:showVal val="0"/>
          <c:showCatName val="0"/>
          <c:showSerName val="0"/>
          <c:showPercent val="0"/>
          <c:showBubbleSize val="0"/>
        </c:dLbls>
        <c:gapWidth val="182"/>
        <c:axId val="468500784"/>
        <c:axId val="95565904"/>
      </c:barChart>
      <c:catAx>
        <c:axId val="46850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5904"/>
        <c:crosses val="autoZero"/>
        <c:auto val="1"/>
        <c:lblAlgn val="ctr"/>
        <c:lblOffset val="100"/>
        <c:noMultiLvlLbl val="0"/>
      </c:catAx>
      <c:valAx>
        <c:axId val="95565904"/>
        <c:scaling>
          <c:orientation val="minMax"/>
        </c:scaling>
        <c:delete val="1"/>
        <c:axPos val="b"/>
        <c:numFmt formatCode="General" sourceLinked="1"/>
        <c:majorTickMark val="none"/>
        <c:minorTickMark val="none"/>
        <c:tickLblPos val="nextTo"/>
        <c:crossAx val="46850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(1).xlsx]count of passenger!PivotTable1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latin typeface="+mn-lt"/>
              </a:rPr>
              <a:t>Count</a:t>
            </a:r>
            <a:r>
              <a:rPr lang="en-US" sz="1200" b="1" baseline="0">
                <a:solidFill>
                  <a:schemeClr val="tx1"/>
                </a:solidFill>
                <a:latin typeface="+mn-lt"/>
              </a:rPr>
              <a:t> </a:t>
            </a:r>
            <a:r>
              <a:rPr lang="en-US" sz="1600" b="1" baseline="0">
                <a:solidFill>
                  <a:schemeClr val="tx1"/>
                </a:solidFill>
                <a:latin typeface="+mn-lt"/>
              </a:rPr>
              <a:t>of </a:t>
            </a:r>
            <a:r>
              <a:rPr lang="en-US" sz="1600" b="0" baseline="0">
                <a:solidFill>
                  <a:schemeClr val="tx1"/>
                </a:solidFill>
                <a:latin typeface="+mn-lt"/>
              </a:rPr>
              <a:t>passengers  on the ship</a:t>
            </a:r>
            <a:endParaRPr lang="en-US" sz="1600" b="0">
              <a:solidFill>
                <a:schemeClr val="tx1"/>
              </a:solidFill>
              <a:latin typeface="+mn-lt"/>
            </a:endParaRPr>
          </a:p>
        </c:rich>
      </c:tx>
      <c:layout>
        <c:manualLayout>
          <c:xMode val="edge"/>
          <c:yMode val="edge"/>
          <c:x val="0.200970208428007"/>
          <c:y val="5.7287161813936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275679523110456E-2"/>
          <c:y val="0.3622923656282096"/>
          <c:w val="0.92057761732851984"/>
          <c:h val="0.60055335968379442"/>
        </c:manualLayout>
      </c:layout>
      <c:barChart>
        <c:barDir val="col"/>
        <c:grouping val="clustered"/>
        <c:varyColors val="0"/>
        <c:ser>
          <c:idx val="0"/>
          <c:order val="0"/>
          <c:tx>
            <c:strRef>
              <c:f>'count of passenger'!$A$3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passenger'!$A$4</c:f>
              <c:strCache>
                <c:ptCount val="1"/>
                <c:pt idx="0">
                  <c:v>Total</c:v>
                </c:pt>
              </c:strCache>
            </c:strRef>
          </c:cat>
          <c:val>
            <c:numRef>
              <c:f>'count of passenger'!$A$4</c:f>
              <c:numCache>
                <c:formatCode>General</c:formatCode>
                <c:ptCount val="1"/>
                <c:pt idx="0">
                  <c:v>418</c:v>
                </c:pt>
              </c:numCache>
            </c:numRef>
          </c:val>
          <c:extLst>
            <c:ext xmlns:c16="http://schemas.microsoft.com/office/drawing/2014/chart" uri="{C3380CC4-5D6E-409C-BE32-E72D297353CC}">
              <c16:uniqueId val="{00000000-7EB6-47CA-A94C-CB62721BA273}"/>
            </c:ext>
          </c:extLst>
        </c:ser>
        <c:dLbls>
          <c:dLblPos val="outEnd"/>
          <c:showLegendKey val="0"/>
          <c:showVal val="1"/>
          <c:showCatName val="0"/>
          <c:showSerName val="0"/>
          <c:showPercent val="0"/>
          <c:showBubbleSize val="0"/>
        </c:dLbls>
        <c:gapWidth val="219"/>
        <c:overlap val="-27"/>
        <c:axId val="771428240"/>
        <c:axId val="771427760"/>
      </c:barChart>
      <c:catAx>
        <c:axId val="771428240"/>
        <c:scaling>
          <c:orientation val="minMax"/>
        </c:scaling>
        <c:delete val="1"/>
        <c:axPos val="b"/>
        <c:numFmt formatCode="General" sourceLinked="1"/>
        <c:majorTickMark val="none"/>
        <c:minorTickMark val="none"/>
        <c:tickLblPos val="nextTo"/>
        <c:crossAx val="771427760"/>
        <c:crosses val="autoZero"/>
        <c:auto val="1"/>
        <c:lblAlgn val="ctr"/>
        <c:lblOffset val="100"/>
        <c:noMultiLvlLbl val="0"/>
      </c:catAx>
      <c:valAx>
        <c:axId val="771427760"/>
        <c:scaling>
          <c:orientation val="minMax"/>
        </c:scaling>
        <c:delete val="1"/>
        <c:axPos val="l"/>
        <c:numFmt formatCode="General" sourceLinked="1"/>
        <c:majorTickMark val="none"/>
        <c:minorTickMark val="none"/>
        <c:tickLblPos val="nextTo"/>
        <c:crossAx val="77142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(1).xlsx]NUMBER OF MALE AND FEMALE !PivotTable10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Number</a:t>
            </a:r>
            <a:r>
              <a:rPr lang="en-US" sz="1200" b="1" baseline="0">
                <a:solidFill>
                  <a:schemeClr val="tx1"/>
                </a:solidFill>
                <a:latin typeface="+mn-lt"/>
              </a:rPr>
              <a:t> of Male and Female in  each class</a:t>
            </a:r>
            <a:endParaRPr lang="en-US" sz="12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MALE AND FEMALE '!$B$3:$B$4</c:f>
              <c:strCache>
                <c:ptCount val="1"/>
                <c:pt idx="0">
                  <c:v>female</c:v>
                </c:pt>
              </c:strCache>
            </c:strRef>
          </c:tx>
          <c:spPr>
            <a:solidFill>
              <a:schemeClr val="accent1"/>
            </a:solidFill>
            <a:ln>
              <a:noFill/>
            </a:ln>
            <a:effectLst/>
          </c:spPr>
          <c:invertIfNegative val="0"/>
          <c:cat>
            <c:strRef>
              <c:f>'NUMBER OF MALE AND FEMALE '!$A$5:$A$8</c:f>
              <c:strCache>
                <c:ptCount val="3"/>
                <c:pt idx="0">
                  <c:v>1</c:v>
                </c:pt>
                <c:pt idx="1">
                  <c:v>2</c:v>
                </c:pt>
                <c:pt idx="2">
                  <c:v>3</c:v>
                </c:pt>
              </c:strCache>
            </c:strRef>
          </c:cat>
          <c:val>
            <c:numRef>
              <c:f>'NUMBER OF MALE AND FEMALE '!$B$5:$B$8</c:f>
              <c:numCache>
                <c:formatCode>General</c:formatCode>
                <c:ptCount val="3"/>
                <c:pt idx="0">
                  <c:v>50</c:v>
                </c:pt>
                <c:pt idx="1">
                  <c:v>30</c:v>
                </c:pt>
                <c:pt idx="2">
                  <c:v>72</c:v>
                </c:pt>
              </c:numCache>
            </c:numRef>
          </c:val>
          <c:extLst>
            <c:ext xmlns:c16="http://schemas.microsoft.com/office/drawing/2014/chart" uri="{C3380CC4-5D6E-409C-BE32-E72D297353CC}">
              <c16:uniqueId val="{00000000-D4BC-408F-BA9B-192CCD0F8510}"/>
            </c:ext>
          </c:extLst>
        </c:ser>
        <c:ser>
          <c:idx val="1"/>
          <c:order val="1"/>
          <c:tx>
            <c:strRef>
              <c:f>'NUMBER OF MALE AND FEMALE '!$C$3:$C$4</c:f>
              <c:strCache>
                <c:ptCount val="1"/>
                <c:pt idx="0">
                  <c:v>male</c:v>
                </c:pt>
              </c:strCache>
            </c:strRef>
          </c:tx>
          <c:spPr>
            <a:solidFill>
              <a:schemeClr val="accent2"/>
            </a:solidFill>
            <a:ln>
              <a:noFill/>
            </a:ln>
            <a:effectLst/>
          </c:spPr>
          <c:invertIfNegative val="0"/>
          <c:cat>
            <c:strRef>
              <c:f>'NUMBER OF MALE AND FEMALE '!$A$5:$A$8</c:f>
              <c:strCache>
                <c:ptCount val="3"/>
                <c:pt idx="0">
                  <c:v>1</c:v>
                </c:pt>
                <c:pt idx="1">
                  <c:v>2</c:v>
                </c:pt>
                <c:pt idx="2">
                  <c:v>3</c:v>
                </c:pt>
              </c:strCache>
            </c:strRef>
          </c:cat>
          <c:val>
            <c:numRef>
              <c:f>'NUMBER OF MALE AND FEMALE '!$C$5:$C$8</c:f>
              <c:numCache>
                <c:formatCode>General</c:formatCode>
                <c:ptCount val="3"/>
                <c:pt idx="0">
                  <c:v>57</c:v>
                </c:pt>
                <c:pt idx="1">
                  <c:v>63</c:v>
                </c:pt>
                <c:pt idx="2">
                  <c:v>146</c:v>
                </c:pt>
              </c:numCache>
            </c:numRef>
          </c:val>
          <c:extLst>
            <c:ext xmlns:c16="http://schemas.microsoft.com/office/drawing/2014/chart" uri="{C3380CC4-5D6E-409C-BE32-E72D297353CC}">
              <c16:uniqueId val="{00000001-D4BC-408F-BA9B-192CCD0F8510}"/>
            </c:ext>
          </c:extLst>
        </c:ser>
        <c:dLbls>
          <c:showLegendKey val="0"/>
          <c:showVal val="0"/>
          <c:showCatName val="0"/>
          <c:showSerName val="0"/>
          <c:showPercent val="0"/>
          <c:showBubbleSize val="0"/>
        </c:dLbls>
        <c:gapWidth val="219"/>
        <c:overlap val="-27"/>
        <c:axId val="1535774208"/>
        <c:axId val="1535774688"/>
      </c:barChart>
      <c:catAx>
        <c:axId val="1535774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774688"/>
        <c:crosses val="autoZero"/>
        <c:auto val="1"/>
        <c:lblAlgn val="ctr"/>
        <c:lblOffset val="100"/>
        <c:noMultiLvlLbl val="0"/>
      </c:catAx>
      <c:valAx>
        <c:axId val="1535774688"/>
        <c:scaling>
          <c:orientation val="minMax"/>
        </c:scaling>
        <c:delete val="1"/>
        <c:axPos val="l"/>
        <c:numFmt formatCode="General" sourceLinked="1"/>
        <c:majorTickMark val="none"/>
        <c:minorTickMark val="none"/>
        <c:tickLblPos val="nextTo"/>
        <c:crossAx val="153577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[Titanic (1).xlsx]BOARED AT EACH LOCATION!PivotTable9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Passenger</a:t>
            </a:r>
            <a:r>
              <a:rPr lang="en-US" sz="1200" b="1" baseline="0">
                <a:solidFill>
                  <a:schemeClr val="tx1"/>
                </a:solidFill>
                <a:latin typeface="+mn-lt"/>
              </a:rPr>
              <a:t> that  Boarded at each location</a:t>
            </a:r>
            <a:endParaRPr lang="en-US" sz="1200" b="1">
              <a:solidFill>
                <a:schemeClr val="tx1"/>
              </a:solidFill>
              <a:latin typeface="+mn-lt"/>
            </a:endParaRPr>
          </a:p>
        </c:rich>
      </c:tx>
      <c:layout>
        <c:manualLayout>
          <c:xMode val="edge"/>
          <c:yMode val="edge"/>
          <c:x val="0.1082707786526684"/>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43567858824734E-2"/>
          <c:y val="5.7694784402075427E-2"/>
          <c:w val="0.87250345892548797"/>
          <c:h val="0.82467507264223672"/>
        </c:manualLayout>
      </c:layout>
      <c:barChart>
        <c:barDir val="col"/>
        <c:grouping val="clustered"/>
        <c:varyColors val="0"/>
        <c:ser>
          <c:idx val="0"/>
          <c:order val="0"/>
          <c:tx>
            <c:strRef>
              <c:f>'BOARED AT EACH LOCATION'!$B$3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'BOARED AT EACH LOCATION'!$A$4:$A$7</c:f>
              <c:strCache>
                <c:ptCount val="3"/>
                <c:pt idx="0">
                  <c:v>Q</c:v>
                </c:pt>
                <c:pt idx="1">
                  <c:v>C</c:v>
                </c:pt>
                <c:pt idx="2">
                  <c:v>S</c:v>
                </c:pt>
              </c:strCache>
            </c:strRef>
          </c:cat>
          <c:val>
            <c:numRef>
              <c:f>'BOARED AT EACH LOCATION'!$B$4:$B$7</c:f>
              <c:numCache>
                <c:formatCode>General</c:formatCode>
                <c:ptCount val="3"/>
                <c:pt idx="0">
                  <c:v>46</c:v>
                </c:pt>
                <c:pt idx="1">
                  <c:v>102</c:v>
                </c:pt>
                <c:pt idx="2">
                  <c:v>270</c:v>
                </c:pt>
              </c:numCache>
            </c:numRef>
          </c:val>
          <c:extLst>
            <c:ext xmlns:c16="http://schemas.microsoft.com/office/drawing/2014/chart" uri="{C3380CC4-5D6E-409C-BE32-E72D297353CC}">
              <c16:uniqueId val="{00000000-28DB-44B6-A902-5302EAD4C609}"/>
            </c:ext>
          </c:extLst>
        </c:ser>
        <c:dLbls>
          <c:dLblPos val="outEnd"/>
          <c:showLegendKey val="0"/>
          <c:showVal val="1"/>
          <c:showCatName val="0"/>
          <c:showSerName val="0"/>
          <c:showPercent val="0"/>
          <c:showBubbleSize val="0"/>
        </c:dLbls>
        <c:gapWidth val="219"/>
        <c:overlap val="-27"/>
        <c:axId val="1535772288"/>
        <c:axId val="1535765088"/>
      </c:barChart>
      <c:catAx>
        <c:axId val="1535772288"/>
        <c:scaling>
          <c:orientation val="minMax"/>
        </c:scaling>
        <c:delete val="1"/>
        <c:axPos val="b"/>
        <c:numFmt formatCode="General" sourceLinked="1"/>
        <c:majorTickMark val="none"/>
        <c:minorTickMark val="none"/>
        <c:tickLblPos val="nextTo"/>
        <c:crossAx val="1535765088"/>
        <c:crosses val="autoZero"/>
        <c:auto val="1"/>
        <c:lblAlgn val="ctr"/>
        <c:lblOffset val="100"/>
        <c:noMultiLvlLbl val="0"/>
      </c:catAx>
      <c:valAx>
        <c:axId val="1535765088"/>
        <c:scaling>
          <c:orientation val="minMax"/>
        </c:scaling>
        <c:delete val="1"/>
        <c:axPos val="l"/>
        <c:numFmt formatCode="General" sourceLinked="1"/>
        <c:majorTickMark val="none"/>
        <c:minorTickMark val="none"/>
        <c:tickLblPos val="nextTo"/>
        <c:crossAx val="153577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[Titanic (1).xlsx]passenger with slibing on board!PivotTable7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solidFill>
                  <a:schemeClr val="tx1"/>
                </a:solidFill>
                <a:effectLst/>
                <a:latin typeface="+mn-lt"/>
              </a:rPr>
              <a:t>Count of passengers with slibling on board</a:t>
            </a:r>
            <a:endParaRPr lang="en-US" sz="1200" b="1">
              <a:solidFill>
                <a:schemeClr val="tx1"/>
              </a:solidFill>
              <a:effectLst/>
              <a:latin typeface="+mn-l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0047839904388098"/>
          <c:y val="3.849312948953457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'passenger with slibing on board'!$B$3</c:f>
              <c:strCache>
                <c:ptCount val="1"/>
                <c:pt idx="0">
                  <c:v>Total</c:v>
                </c:pt>
              </c:strCache>
            </c:strRef>
          </c:tx>
          <c:spPr>
            <a:solidFill>
              <a:schemeClr val="accent2"/>
            </a:solidFill>
            <a:ln>
              <a:noFill/>
            </a:ln>
            <a:effectLst/>
          </c:spPr>
          <c:invertIfNegative val="0"/>
          <c:cat>
            <c:strRef>
              <c:f>'passenger with slibing on board'!$A$4:$A$5</c:f>
              <c:strCache>
                <c:ptCount val="1"/>
                <c:pt idx="0">
                  <c:v>YES</c:v>
                </c:pt>
              </c:strCache>
            </c:strRef>
          </c:cat>
          <c:val>
            <c:numRef>
              <c:f>'passenger with slibing on board'!$B$4:$B$5</c:f>
              <c:numCache>
                <c:formatCode>General</c:formatCode>
                <c:ptCount val="1"/>
                <c:pt idx="0">
                  <c:v>135</c:v>
                </c:pt>
              </c:numCache>
            </c:numRef>
          </c:val>
          <c:extLst>
            <c:ext xmlns:c16="http://schemas.microsoft.com/office/drawing/2014/chart" uri="{C3380CC4-5D6E-409C-BE32-E72D297353CC}">
              <c16:uniqueId val="{00000000-88AB-4CB3-B02A-9EE2197C0B02}"/>
            </c:ext>
          </c:extLst>
        </c:ser>
        <c:dLbls>
          <c:showLegendKey val="0"/>
          <c:showVal val="0"/>
          <c:showCatName val="0"/>
          <c:showSerName val="0"/>
          <c:showPercent val="0"/>
          <c:showBubbleSize val="0"/>
        </c:dLbls>
        <c:gapWidth val="182"/>
        <c:axId val="1854945696"/>
        <c:axId val="1844403328"/>
      </c:barChart>
      <c:catAx>
        <c:axId val="1854945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3328"/>
        <c:crosses val="autoZero"/>
        <c:auto val="1"/>
        <c:lblAlgn val="ctr"/>
        <c:lblOffset val="100"/>
        <c:noMultiLvlLbl val="0"/>
      </c:catAx>
      <c:valAx>
        <c:axId val="184440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94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(1).xlsx]count of male and female!PivotTable3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Count</a:t>
            </a:r>
            <a:r>
              <a:rPr lang="en-US" sz="1200" b="1" baseline="0">
                <a:solidFill>
                  <a:schemeClr val="tx1"/>
                </a:solidFill>
                <a:latin typeface="+mn-lt"/>
              </a:rPr>
              <a:t> of male and female Passengers</a:t>
            </a:r>
            <a:endParaRPr lang="en-US" sz="12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male and female'!$B$3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male and female'!$A$4:$A$6</c:f>
              <c:strCache>
                <c:ptCount val="2"/>
                <c:pt idx="0">
                  <c:v>female</c:v>
                </c:pt>
                <c:pt idx="1">
                  <c:v>male</c:v>
                </c:pt>
              </c:strCache>
            </c:strRef>
          </c:cat>
          <c:val>
            <c:numRef>
              <c:f>'count of male and female'!$B$4:$B$6</c:f>
              <c:numCache>
                <c:formatCode>General</c:formatCode>
                <c:ptCount val="2"/>
                <c:pt idx="0">
                  <c:v>152</c:v>
                </c:pt>
                <c:pt idx="1">
                  <c:v>266</c:v>
                </c:pt>
              </c:numCache>
            </c:numRef>
          </c:val>
          <c:extLst>
            <c:ext xmlns:c16="http://schemas.microsoft.com/office/drawing/2014/chart" uri="{C3380CC4-5D6E-409C-BE32-E72D297353CC}">
              <c16:uniqueId val="{00000000-6C60-4468-A9F3-A2B231EC005C}"/>
            </c:ext>
          </c:extLst>
        </c:ser>
        <c:dLbls>
          <c:dLblPos val="outEnd"/>
          <c:showLegendKey val="0"/>
          <c:showVal val="1"/>
          <c:showCatName val="0"/>
          <c:showSerName val="0"/>
          <c:showPercent val="0"/>
          <c:showBubbleSize val="0"/>
        </c:dLbls>
        <c:gapWidth val="219"/>
        <c:overlap val="-27"/>
        <c:axId val="1334036784"/>
        <c:axId val="1334033904"/>
      </c:barChart>
      <c:catAx>
        <c:axId val="13340367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34033904"/>
        <c:crosses val="autoZero"/>
        <c:auto val="1"/>
        <c:lblAlgn val="ctr"/>
        <c:lblOffset val="100"/>
        <c:noMultiLvlLbl val="0"/>
      </c:catAx>
      <c:valAx>
        <c:axId val="1334033904"/>
        <c:scaling>
          <c:orientation val="minMax"/>
        </c:scaling>
        <c:delete val="1"/>
        <c:axPos val="l"/>
        <c:numFmt formatCode="General" sourceLinked="1"/>
        <c:majorTickMark val="out"/>
        <c:minorTickMark val="none"/>
        <c:tickLblPos val="nextTo"/>
        <c:crossAx val="133403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(1).xlsx]how many passenge in each class!PivotTable2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count of passenger  in each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'how many passenge in each class'!$B$3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34-47B0-877D-B52E1F373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34-47B0-877D-B52E1F373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34-47B0-877D-B52E1F3737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34-47B0-877D-B52E1F3737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'how many passenge in each class'!$A$4:$A$7</c:f>
              <c:strCache>
                <c:ptCount val="3"/>
                <c:pt idx="0">
                  <c:v>1</c:v>
                </c:pt>
                <c:pt idx="1">
                  <c:v>2</c:v>
                </c:pt>
                <c:pt idx="2">
                  <c:v>3</c:v>
                </c:pt>
              </c:strCache>
            </c:strRef>
          </c:cat>
          <c:val>
            <c:numRef>
              <c:f>'how many passenge in each class'!$B$4:$B$7</c:f>
              <c:numCache>
                <c:formatCode>General</c:formatCode>
                <c:ptCount val="3"/>
                <c:pt idx="0">
                  <c:v>107</c:v>
                </c:pt>
                <c:pt idx="1">
                  <c:v>93</c:v>
                </c:pt>
                <c:pt idx="2">
                  <c:v>218</c:v>
                </c:pt>
              </c:numCache>
            </c:numRef>
          </c:val>
          <c:extLst>
            <c:ext xmlns:c16="http://schemas.microsoft.com/office/drawing/2014/chart" uri="{C3380CC4-5D6E-409C-BE32-E72D297353CC}">
              <c16:uniqueId val="{00000008-9134-47B0-877D-B52E1F3737F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(1).xlsx]BOARED AT EACH LOCATION!PivotTable9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Passenger</a:t>
            </a:r>
            <a:r>
              <a:rPr lang="en-US" sz="1200" b="1" baseline="0">
                <a:solidFill>
                  <a:schemeClr val="tx1"/>
                </a:solidFill>
                <a:latin typeface="+mn-lt"/>
              </a:rPr>
              <a:t> that  embacked at each location</a:t>
            </a:r>
            <a:endParaRPr lang="en-US" sz="1200" b="1">
              <a:solidFill>
                <a:schemeClr val="tx1"/>
              </a:solidFill>
              <a:latin typeface="+mn-lt"/>
            </a:endParaRPr>
          </a:p>
        </c:rich>
      </c:tx>
      <c:layout>
        <c:manualLayout>
          <c:xMode val="edge"/>
          <c:yMode val="edge"/>
          <c:x val="5.2359140323552662E-2"/>
          <c:y val="0.294963485284316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'BOARED AT EACH LOCATION'!$B$3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'BOARED AT EACH LOCATION'!$A$4:$A$7</c:f>
              <c:strCache>
                <c:ptCount val="3"/>
                <c:pt idx="0">
                  <c:v>Q</c:v>
                </c:pt>
                <c:pt idx="1">
                  <c:v>C</c:v>
                </c:pt>
                <c:pt idx="2">
                  <c:v>S</c:v>
                </c:pt>
              </c:strCache>
            </c:strRef>
          </c:cat>
          <c:val>
            <c:numRef>
              <c:f>'BOARED AT EACH LOCATION'!$B$4:$B$7</c:f>
              <c:numCache>
                <c:formatCode>General</c:formatCode>
                <c:ptCount val="3"/>
                <c:pt idx="0">
                  <c:v>46</c:v>
                </c:pt>
                <c:pt idx="1">
                  <c:v>102</c:v>
                </c:pt>
                <c:pt idx="2">
                  <c:v>270</c:v>
                </c:pt>
              </c:numCache>
            </c:numRef>
          </c:val>
          <c:extLst>
            <c:ext xmlns:c16="http://schemas.microsoft.com/office/drawing/2014/chart" uri="{C3380CC4-5D6E-409C-BE32-E72D297353CC}">
              <c16:uniqueId val="{00000000-0628-4F8A-B6BC-EB0A4B3DF528}"/>
            </c:ext>
          </c:extLst>
        </c:ser>
        <c:dLbls>
          <c:dLblPos val="outEnd"/>
          <c:showLegendKey val="0"/>
          <c:showVal val="1"/>
          <c:showCatName val="0"/>
          <c:showSerName val="0"/>
          <c:showPercent val="0"/>
          <c:showBubbleSize val="0"/>
        </c:dLbls>
        <c:gapWidth val="219"/>
        <c:overlap val="-27"/>
        <c:axId val="1535772288"/>
        <c:axId val="1535765088"/>
      </c:barChart>
      <c:catAx>
        <c:axId val="1535772288"/>
        <c:scaling>
          <c:orientation val="minMax"/>
        </c:scaling>
        <c:delete val="1"/>
        <c:axPos val="b"/>
        <c:numFmt formatCode="General" sourceLinked="1"/>
        <c:majorTickMark val="none"/>
        <c:minorTickMark val="none"/>
        <c:tickLblPos val="nextTo"/>
        <c:crossAx val="1535765088"/>
        <c:crosses val="autoZero"/>
        <c:auto val="1"/>
        <c:lblAlgn val="ctr"/>
        <c:lblOffset val="100"/>
        <c:noMultiLvlLbl val="0"/>
      </c:catAx>
      <c:valAx>
        <c:axId val="1535765088"/>
        <c:scaling>
          <c:orientation val="minMax"/>
        </c:scaling>
        <c:delete val="1"/>
        <c:axPos val="l"/>
        <c:numFmt formatCode="General" sourceLinked="1"/>
        <c:majorTickMark val="none"/>
        <c:minorTickMark val="none"/>
        <c:tickLblPos val="nextTo"/>
        <c:crossAx val="153577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(1).xlsx]PASSENGER WITH CHILDREN ON BOAR!PivotTable9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Passengers</a:t>
            </a:r>
            <a:r>
              <a:rPr lang="en-US" sz="1200" b="1" baseline="0">
                <a:solidFill>
                  <a:schemeClr val="tx1"/>
                </a:solidFill>
                <a:latin typeface="+mn-lt"/>
              </a:rPr>
              <a:t> with child on board</a:t>
            </a:r>
            <a:endParaRPr lang="en-US" sz="1200" b="1">
              <a:solidFill>
                <a:schemeClr val="tx1"/>
              </a:solidFill>
              <a:latin typeface="+mn-lt"/>
            </a:endParaRPr>
          </a:p>
        </c:rich>
      </c:tx>
      <c:layout>
        <c:manualLayout>
          <c:xMode val="edge"/>
          <c:yMode val="edge"/>
          <c:x val="8.1559415005595021E-2"/>
          <c:y val="2.3107304773978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5141648982297"/>
          <c:y val="0.3927148548662493"/>
          <c:w val="0.75866607645236106"/>
          <c:h val="0.50971623709244651"/>
        </c:manualLayout>
      </c:layout>
      <c:barChart>
        <c:barDir val="bar"/>
        <c:grouping val="clustered"/>
        <c:varyColors val="0"/>
        <c:ser>
          <c:idx val="0"/>
          <c:order val="0"/>
          <c:tx>
            <c:strRef>
              <c:f>'PASSENGER WITH CHILDREN ON BOAR'!$B$3</c:f>
              <c:strCache>
                <c:ptCount val="1"/>
                <c:pt idx="0">
                  <c:v>Total</c:v>
                </c:pt>
              </c:strCache>
            </c:strRef>
          </c:tx>
          <c:spPr>
            <a:solidFill>
              <a:schemeClr val="accent6"/>
            </a:solidFill>
            <a:ln>
              <a:noFill/>
            </a:ln>
            <a:effectLst/>
          </c:spPr>
          <c:invertIfNegative val="0"/>
          <c:cat>
            <c:strRef>
              <c:f>'PASSENGER WITH CHILDREN ON BOAR'!$A$4:$A$6</c:f>
              <c:strCache>
                <c:ptCount val="2"/>
                <c:pt idx="0">
                  <c:v>NO</c:v>
                </c:pt>
                <c:pt idx="1">
                  <c:v>YES</c:v>
                </c:pt>
              </c:strCache>
            </c:strRef>
          </c:cat>
          <c:val>
            <c:numRef>
              <c:f>'PASSENGER WITH CHILDREN ON BOAR'!$B$4:$B$6</c:f>
              <c:numCache>
                <c:formatCode>General</c:formatCode>
                <c:ptCount val="2"/>
                <c:pt idx="0">
                  <c:v>377</c:v>
                </c:pt>
                <c:pt idx="1">
                  <c:v>41</c:v>
                </c:pt>
              </c:numCache>
            </c:numRef>
          </c:val>
          <c:extLst>
            <c:ext xmlns:c16="http://schemas.microsoft.com/office/drawing/2014/chart" uri="{C3380CC4-5D6E-409C-BE32-E72D297353CC}">
              <c16:uniqueId val="{00000000-799E-4871-9F4F-60A1682887C2}"/>
            </c:ext>
          </c:extLst>
        </c:ser>
        <c:dLbls>
          <c:showLegendKey val="0"/>
          <c:showVal val="0"/>
          <c:showCatName val="0"/>
          <c:showSerName val="0"/>
          <c:showPercent val="0"/>
          <c:showBubbleSize val="0"/>
        </c:dLbls>
        <c:gapWidth val="182"/>
        <c:axId val="468500784"/>
        <c:axId val="95565904"/>
      </c:barChart>
      <c:catAx>
        <c:axId val="46850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5904"/>
        <c:crosses val="autoZero"/>
        <c:auto val="1"/>
        <c:lblAlgn val="ctr"/>
        <c:lblOffset val="100"/>
        <c:noMultiLvlLbl val="0"/>
      </c:catAx>
      <c:valAx>
        <c:axId val="95565904"/>
        <c:scaling>
          <c:orientation val="minMax"/>
        </c:scaling>
        <c:delete val="1"/>
        <c:axPos val="b"/>
        <c:numFmt formatCode="General" sourceLinked="1"/>
        <c:majorTickMark val="none"/>
        <c:minorTickMark val="none"/>
        <c:tickLblPos val="nextTo"/>
        <c:crossAx val="46850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(1).xlsx]passanger in age group!PivotTable6</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solidFill>
                  <a:schemeClr val="tx1"/>
                </a:solidFill>
                <a:effectLst/>
                <a:latin typeface="+mn-lt"/>
              </a:rPr>
              <a:t>count of passenger </a:t>
            </a:r>
            <a:r>
              <a:rPr lang="en-US" sz="1100" b="1" i="0" baseline="0">
                <a:effectLst/>
              </a:rPr>
              <a:t>across age group</a:t>
            </a:r>
            <a:endParaRPr lang="en-US"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'passanger in age group'!$B$3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'passanger in age group'!$A$4:$A$8</c:f>
              <c:strCache>
                <c:ptCount val="4"/>
                <c:pt idx="0">
                  <c:v>ELDER</c:v>
                </c:pt>
                <c:pt idx="1">
                  <c:v>TEEN</c:v>
                </c:pt>
                <c:pt idx="2">
                  <c:v>YOUTH</c:v>
                </c:pt>
                <c:pt idx="3">
                  <c:v>ADULT</c:v>
                </c:pt>
              </c:strCache>
            </c:strRef>
          </c:cat>
          <c:val>
            <c:numRef>
              <c:f>'passanger in age group'!$B$4:$B$8</c:f>
              <c:numCache>
                <c:formatCode>General</c:formatCode>
                <c:ptCount val="4"/>
                <c:pt idx="0">
                  <c:v>14</c:v>
                </c:pt>
                <c:pt idx="1">
                  <c:v>41</c:v>
                </c:pt>
                <c:pt idx="2">
                  <c:v>144</c:v>
                </c:pt>
                <c:pt idx="3">
                  <c:v>219</c:v>
                </c:pt>
              </c:numCache>
            </c:numRef>
          </c:val>
          <c:smooth val="0"/>
          <c:extLst>
            <c:ext xmlns:c16="http://schemas.microsoft.com/office/drawing/2014/chart" uri="{C3380CC4-5D6E-409C-BE32-E72D297353CC}">
              <c16:uniqueId val="{00000000-A4B0-4706-A2D8-059B8E7F33AC}"/>
            </c:ext>
          </c:extLst>
        </c:ser>
        <c:dLbls>
          <c:dLblPos val="t"/>
          <c:showLegendKey val="0"/>
          <c:showVal val="1"/>
          <c:showCatName val="0"/>
          <c:showSerName val="0"/>
          <c:showPercent val="0"/>
          <c:showBubbleSize val="0"/>
        </c:dLbls>
        <c:smooth val="0"/>
        <c:axId val="784198112"/>
        <c:axId val="784188512"/>
      </c:lineChart>
      <c:catAx>
        <c:axId val="784198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188512"/>
        <c:crosses val="autoZero"/>
        <c:auto val="1"/>
        <c:lblAlgn val="ctr"/>
        <c:lblOffset val="100"/>
        <c:noMultiLvlLbl val="0"/>
      </c:catAx>
      <c:valAx>
        <c:axId val="784188512"/>
        <c:scaling>
          <c:orientation val="minMax"/>
        </c:scaling>
        <c:delete val="1"/>
        <c:axPos val="l"/>
        <c:numFmt formatCode="General" sourceLinked="1"/>
        <c:majorTickMark val="none"/>
        <c:minorTickMark val="none"/>
        <c:tickLblPos val="nextTo"/>
        <c:crossAx val="78419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(1).xlsx]count of survived passengers!PivotTable1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Count</a:t>
            </a:r>
            <a:r>
              <a:rPr lang="en-US" sz="1600" b="1" baseline="0">
                <a:solidFill>
                  <a:schemeClr val="tx1"/>
                </a:solidFill>
                <a:latin typeface="+mn-lt"/>
              </a:rPr>
              <a:t> of survived passengers</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59109534401877E-2"/>
          <c:y val="0.17157206925125401"/>
          <c:w val="0.89019685039370078"/>
          <c:h val="0.70959135316418775"/>
        </c:manualLayout>
      </c:layout>
      <c:barChart>
        <c:barDir val="col"/>
        <c:grouping val="clustered"/>
        <c:varyColors val="0"/>
        <c:ser>
          <c:idx val="0"/>
          <c:order val="0"/>
          <c:tx>
            <c:strRef>
              <c:f>'count of survived passengers'!$B$3</c:f>
              <c:strCache>
                <c:ptCount val="1"/>
                <c:pt idx="0">
                  <c:v>Total</c:v>
                </c:pt>
              </c:strCache>
            </c:strRef>
          </c:tx>
          <c:spPr>
            <a:solidFill>
              <a:schemeClr val="accent1"/>
            </a:solidFill>
            <a:ln>
              <a:noFill/>
            </a:ln>
            <a:effectLst/>
          </c:spPr>
          <c:invertIfNegative val="0"/>
          <c:cat>
            <c:strRef>
              <c:f>'count of survived passengers'!$A$4:$A$6</c:f>
              <c:strCache>
                <c:ptCount val="2"/>
                <c:pt idx="0">
                  <c:v>0</c:v>
                </c:pt>
                <c:pt idx="1">
                  <c:v>1</c:v>
                </c:pt>
              </c:strCache>
            </c:strRef>
          </c:cat>
          <c:val>
            <c:numRef>
              <c:f>'count of survived passengers'!$B$4:$B$6</c:f>
              <c:numCache>
                <c:formatCode>General</c:formatCode>
                <c:ptCount val="2"/>
                <c:pt idx="0">
                  <c:v>266</c:v>
                </c:pt>
                <c:pt idx="1">
                  <c:v>152</c:v>
                </c:pt>
              </c:numCache>
            </c:numRef>
          </c:val>
          <c:extLst>
            <c:ext xmlns:c16="http://schemas.microsoft.com/office/drawing/2014/chart" uri="{C3380CC4-5D6E-409C-BE32-E72D297353CC}">
              <c16:uniqueId val="{00000000-27DA-475E-9C9F-1B34B9C4F150}"/>
            </c:ext>
          </c:extLst>
        </c:ser>
        <c:dLbls>
          <c:showLegendKey val="0"/>
          <c:showVal val="0"/>
          <c:showCatName val="0"/>
          <c:showSerName val="0"/>
          <c:showPercent val="0"/>
          <c:showBubbleSize val="0"/>
        </c:dLbls>
        <c:gapWidth val="219"/>
        <c:overlap val="-27"/>
        <c:axId val="468504144"/>
        <c:axId val="468506544"/>
      </c:barChart>
      <c:catAx>
        <c:axId val="46850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06544"/>
        <c:crosses val="autoZero"/>
        <c:auto val="1"/>
        <c:lblAlgn val="ctr"/>
        <c:lblOffset val="100"/>
        <c:noMultiLvlLbl val="0"/>
      </c:catAx>
      <c:valAx>
        <c:axId val="468506544"/>
        <c:scaling>
          <c:orientation val="minMax"/>
        </c:scaling>
        <c:delete val="1"/>
        <c:axPos val="l"/>
        <c:numFmt formatCode="General" sourceLinked="1"/>
        <c:majorTickMark val="out"/>
        <c:minorTickMark val="none"/>
        <c:tickLblPos val="nextTo"/>
        <c:crossAx val="46850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(1).xlsx]passenger that survive m,f!PivotTable2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latin typeface="+mn-lt"/>
              </a:rPr>
              <a:t> </a:t>
            </a:r>
            <a:r>
              <a:rPr lang="en-US" sz="1400" b="1" baseline="0">
                <a:latin typeface="+mn-lt"/>
              </a:rPr>
              <a:t>passenger that survive male/female</a:t>
            </a:r>
            <a:endParaRPr lang="en-US" sz="1800"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'passenger that survive m,f'!$B$3</c:f>
              <c:strCache>
                <c:ptCount val="1"/>
                <c:pt idx="0">
                  <c:v>Total</c:v>
                </c:pt>
              </c:strCache>
            </c:strRef>
          </c:tx>
          <c:spPr>
            <a:solidFill>
              <a:schemeClr val="accent1"/>
            </a:solidFill>
            <a:ln>
              <a:noFill/>
            </a:ln>
            <a:effectLst/>
          </c:spPr>
          <c:invertIfNegative val="0"/>
          <c:cat>
            <c:strRef>
              <c:f>'passenger that survive m,f'!$A$4:$A$6</c:f>
              <c:strCache>
                <c:ptCount val="2"/>
                <c:pt idx="0">
                  <c:v>female</c:v>
                </c:pt>
                <c:pt idx="1">
                  <c:v>male</c:v>
                </c:pt>
              </c:strCache>
            </c:strRef>
          </c:cat>
          <c:val>
            <c:numRef>
              <c:f>'passenger that survive m,f'!$B$4:$B$6</c:f>
              <c:numCache>
                <c:formatCode>General</c:formatCode>
                <c:ptCount val="2"/>
                <c:pt idx="0">
                  <c:v>152</c:v>
                </c:pt>
                <c:pt idx="1">
                  <c:v>0</c:v>
                </c:pt>
              </c:numCache>
            </c:numRef>
          </c:val>
          <c:extLst>
            <c:ext xmlns:c16="http://schemas.microsoft.com/office/drawing/2014/chart" uri="{C3380CC4-5D6E-409C-BE32-E72D297353CC}">
              <c16:uniqueId val="{00000000-3198-41EC-94D5-8CBC9BC43935}"/>
            </c:ext>
          </c:extLst>
        </c:ser>
        <c:dLbls>
          <c:showLegendKey val="0"/>
          <c:showVal val="0"/>
          <c:showCatName val="0"/>
          <c:showSerName val="0"/>
          <c:showPercent val="0"/>
          <c:showBubbleSize val="0"/>
        </c:dLbls>
        <c:gapWidth val="219"/>
        <c:overlap val="-27"/>
        <c:axId val="60712080"/>
        <c:axId val="60712560"/>
      </c:barChart>
      <c:catAx>
        <c:axId val="607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560"/>
        <c:crosses val="autoZero"/>
        <c:auto val="1"/>
        <c:lblAlgn val="ctr"/>
        <c:lblOffset val="100"/>
        <c:noMultiLvlLbl val="0"/>
      </c:catAx>
      <c:valAx>
        <c:axId val="6071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(1).xlsx]sum of survival in each class!PivotTable3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mn-lt"/>
              </a:rPr>
              <a:t> Survive in Each class</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survival in each class'!$B$3</c:f>
              <c:strCache>
                <c:ptCount val="1"/>
                <c:pt idx="0">
                  <c:v>Total</c:v>
                </c:pt>
              </c:strCache>
            </c:strRef>
          </c:tx>
          <c:spPr>
            <a:solidFill>
              <a:schemeClr val="accent1"/>
            </a:solidFill>
            <a:ln>
              <a:noFill/>
            </a:ln>
            <a:effectLst/>
          </c:spPr>
          <c:invertIfNegative val="0"/>
          <c:cat>
            <c:strRef>
              <c:f>'sum of survival in each class'!$A$4:$A$7</c:f>
              <c:strCache>
                <c:ptCount val="3"/>
                <c:pt idx="0">
                  <c:v>1</c:v>
                </c:pt>
                <c:pt idx="1">
                  <c:v>2</c:v>
                </c:pt>
                <c:pt idx="2">
                  <c:v>3</c:v>
                </c:pt>
              </c:strCache>
            </c:strRef>
          </c:cat>
          <c:val>
            <c:numRef>
              <c:f>'sum of survival in each class'!$B$4:$B$7</c:f>
              <c:numCache>
                <c:formatCode>General</c:formatCode>
                <c:ptCount val="3"/>
                <c:pt idx="0">
                  <c:v>50</c:v>
                </c:pt>
                <c:pt idx="1">
                  <c:v>30</c:v>
                </c:pt>
                <c:pt idx="2">
                  <c:v>72</c:v>
                </c:pt>
              </c:numCache>
            </c:numRef>
          </c:val>
          <c:extLst>
            <c:ext xmlns:c16="http://schemas.microsoft.com/office/drawing/2014/chart" uri="{C3380CC4-5D6E-409C-BE32-E72D297353CC}">
              <c16:uniqueId val="{00000000-9C5D-4E2D-A262-714D9F9DB9E4}"/>
            </c:ext>
          </c:extLst>
        </c:ser>
        <c:dLbls>
          <c:showLegendKey val="0"/>
          <c:showVal val="0"/>
          <c:showCatName val="0"/>
          <c:showSerName val="0"/>
          <c:showPercent val="0"/>
          <c:showBubbleSize val="0"/>
        </c:dLbls>
        <c:gapWidth val="219"/>
        <c:overlap val="-27"/>
        <c:axId val="1843924336"/>
        <c:axId val="62614512"/>
      </c:barChart>
      <c:catAx>
        <c:axId val="1843924336"/>
        <c:scaling>
          <c:orientation val="minMax"/>
        </c:scaling>
        <c:delete val="1"/>
        <c:axPos val="b"/>
        <c:numFmt formatCode="General" sourceLinked="1"/>
        <c:majorTickMark val="none"/>
        <c:minorTickMark val="none"/>
        <c:tickLblPos val="nextTo"/>
        <c:crossAx val="62614512"/>
        <c:crosses val="autoZero"/>
        <c:auto val="1"/>
        <c:lblAlgn val="ctr"/>
        <c:lblOffset val="100"/>
        <c:noMultiLvlLbl val="0"/>
      </c:catAx>
      <c:valAx>
        <c:axId val="62614512"/>
        <c:scaling>
          <c:orientation val="minMax"/>
        </c:scaling>
        <c:delete val="1"/>
        <c:axPos val="l"/>
        <c:numFmt formatCode="General" sourceLinked="1"/>
        <c:majorTickMark val="none"/>
        <c:minorTickMark val="none"/>
        <c:tickLblPos val="nextTo"/>
        <c:crossAx val="1843924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(1).xlsx]survival by age group!PivotTable4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mn-lt"/>
              </a:rPr>
              <a:t>Sum</a:t>
            </a:r>
            <a:r>
              <a:rPr lang="en-US" sz="1800" b="1" baseline="0">
                <a:solidFill>
                  <a:schemeClr val="tx1"/>
                </a:solidFill>
                <a:latin typeface="+mn-lt"/>
              </a:rPr>
              <a:t> of survival by age group</a:t>
            </a:r>
            <a:endParaRPr lang="en-US" sz="1800" b="1">
              <a:solidFill>
                <a:schemeClr val="tx1"/>
              </a:solidFill>
              <a:latin typeface="+mn-lt"/>
            </a:endParaRPr>
          </a:p>
        </c:rich>
      </c:tx>
      <c:layout>
        <c:manualLayout>
          <c:xMode val="edge"/>
          <c:yMode val="edge"/>
          <c:x val="0.100641534414456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by age group'!$B$3</c:f>
              <c:strCache>
                <c:ptCount val="1"/>
                <c:pt idx="0">
                  <c:v>Total</c:v>
                </c:pt>
              </c:strCache>
            </c:strRef>
          </c:tx>
          <c:spPr>
            <a:solidFill>
              <a:schemeClr val="accent1"/>
            </a:solidFill>
            <a:ln>
              <a:noFill/>
            </a:ln>
            <a:effectLst/>
          </c:spPr>
          <c:invertIfNegative val="0"/>
          <c:cat>
            <c:strRef>
              <c:f>'survival by age group'!$A$4:$A$8</c:f>
              <c:strCache>
                <c:ptCount val="4"/>
                <c:pt idx="0">
                  <c:v>ADULT</c:v>
                </c:pt>
                <c:pt idx="1">
                  <c:v>ELDER</c:v>
                </c:pt>
                <c:pt idx="2">
                  <c:v>TEEN</c:v>
                </c:pt>
                <c:pt idx="3">
                  <c:v>YOUTH</c:v>
                </c:pt>
              </c:strCache>
            </c:strRef>
          </c:cat>
          <c:val>
            <c:numRef>
              <c:f>'survival by age group'!$B$4:$B$8</c:f>
              <c:numCache>
                <c:formatCode>General</c:formatCode>
                <c:ptCount val="4"/>
                <c:pt idx="0">
                  <c:v>74</c:v>
                </c:pt>
                <c:pt idx="1">
                  <c:v>7</c:v>
                </c:pt>
                <c:pt idx="2">
                  <c:v>17</c:v>
                </c:pt>
                <c:pt idx="3">
                  <c:v>54</c:v>
                </c:pt>
              </c:numCache>
            </c:numRef>
          </c:val>
          <c:extLst>
            <c:ext xmlns:c16="http://schemas.microsoft.com/office/drawing/2014/chart" uri="{C3380CC4-5D6E-409C-BE32-E72D297353CC}">
              <c16:uniqueId val="{00000000-B889-40CE-9CCA-34E1B729DC08}"/>
            </c:ext>
          </c:extLst>
        </c:ser>
        <c:dLbls>
          <c:showLegendKey val="0"/>
          <c:showVal val="0"/>
          <c:showCatName val="0"/>
          <c:showSerName val="0"/>
          <c:showPercent val="0"/>
          <c:showBubbleSize val="0"/>
        </c:dLbls>
        <c:gapWidth val="219"/>
        <c:overlap val="-27"/>
        <c:axId val="1844408128"/>
        <c:axId val="1854944736"/>
      </c:barChart>
      <c:catAx>
        <c:axId val="184440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944736"/>
        <c:crosses val="autoZero"/>
        <c:auto val="1"/>
        <c:lblAlgn val="ctr"/>
        <c:lblOffset val="100"/>
        <c:noMultiLvlLbl val="0"/>
      </c:catAx>
      <c:valAx>
        <c:axId val="1854944736"/>
        <c:scaling>
          <c:orientation val="minMax"/>
        </c:scaling>
        <c:delete val="1"/>
        <c:axPos val="l"/>
        <c:numFmt formatCode="General" sourceLinked="1"/>
        <c:majorTickMark val="none"/>
        <c:minorTickMark val="none"/>
        <c:tickLblPos val="nextTo"/>
        <c:crossAx val="184440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 survived passenger embarked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 Survived passenger embarked from locat</a:t>
            </a:r>
            <a:endParaRPr lang="en-US"/>
          </a:p>
        </c:rich>
      </c:tx>
      <c:layout>
        <c:manualLayout>
          <c:xMode val="edge"/>
          <c:yMode val="edge"/>
          <c:x val="6.3325726465033969E-2"/>
          <c:y val="0.137881479761391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7.1167095278915446E-2"/>
                  <c:h val="0.22729889027029515"/>
                </c:manualLayout>
              </c15:layout>
            </c:ext>
          </c:extLst>
        </c:dLbl>
      </c:pivotFmt>
      <c:pivotFmt>
        <c:idx val="8"/>
        <c:spPr>
          <a:solidFill>
            <a:schemeClr val="accent1"/>
          </a:solidFill>
          <a:ln w="19050">
            <a:solidFill>
              <a:schemeClr val="lt1"/>
            </a:solidFill>
          </a:ln>
          <a:effectLst/>
        </c:spPr>
      </c:pivotFmt>
    </c:pivotFmts>
    <c:plotArea>
      <c:layout/>
      <c:doughnutChart>
        <c:varyColors val="1"/>
        <c:ser>
          <c:idx val="0"/>
          <c:order val="0"/>
          <c:tx>
            <c:strRef>
              <c:f>' survived passenger embarked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EA-4342-BD47-4A9C2406D8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EA-4342-BD47-4A9C2406D8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EA-4342-BD47-4A9C2406D88E}"/>
              </c:ext>
            </c:extLst>
          </c:dPt>
          <c:dLbls>
            <c:dLbl>
              <c:idx val="1"/>
              <c:delete val="1"/>
              <c:extLst>
                <c:ext xmlns:c15="http://schemas.microsoft.com/office/drawing/2012/chart" uri="{CE6537A1-D6FC-4f65-9D91-7224C49458BB}">
                  <c15:layout>
                    <c:manualLayout>
                      <c:w val="7.1167095278915446E-2"/>
                      <c:h val="0.22729889027029515"/>
                    </c:manualLayout>
                  </c15:layout>
                </c:ext>
                <c:ext xmlns:c16="http://schemas.microsoft.com/office/drawing/2014/chart" uri="{C3380CC4-5D6E-409C-BE32-E72D297353CC}">
                  <c16:uniqueId val="{00000003-65EA-4342-BD47-4A9C2406D8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survived passenger embarked '!$A$4:$A$7</c:f>
              <c:strCache>
                <c:ptCount val="3"/>
                <c:pt idx="0">
                  <c:v>C</c:v>
                </c:pt>
                <c:pt idx="1">
                  <c:v>Q</c:v>
                </c:pt>
                <c:pt idx="2">
                  <c:v>S</c:v>
                </c:pt>
              </c:strCache>
            </c:strRef>
          </c:cat>
          <c:val>
            <c:numRef>
              <c:f>' survived passenger embarked '!$B$4:$B$7</c:f>
              <c:numCache>
                <c:formatCode>General</c:formatCode>
                <c:ptCount val="3"/>
                <c:pt idx="0">
                  <c:v>40</c:v>
                </c:pt>
                <c:pt idx="1">
                  <c:v>24</c:v>
                </c:pt>
                <c:pt idx="2">
                  <c:v>88</c:v>
                </c:pt>
              </c:numCache>
            </c:numRef>
          </c:val>
          <c:extLst>
            <c:ext xmlns:c16="http://schemas.microsoft.com/office/drawing/2014/chart" uri="{C3380CC4-5D6E-409C-BE32-E72D297353CC}">
              <c16:uniqueId val="{00000006-65EA-4342-BD47-4A9C2406D88E}"/>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(1).xlsx]sum of survival by gender!PivotTable6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latin typeface="+mn-lt"/>
              </a:rPr>
              <a:t> Average survival by gender</a:t>
            </a:r>
            <a:endParaRPr lang="en-US" sz="1800" b="1">
              <a:solidFill>
                <a:schemeClr val="tx1"/>
              </a:solidFill>
              <a:latin typeface="+mn-lt"/>
            </a:endParaRPr>
          </a:p>
        </c:rich>
      </c:tx>
      <c:layout>
        <c:manualLayout>
          <c:xMode val="edge"/>
          <c:yMode val="edge"/>
          <c:x val="0.15178315558659158"/>
          <c:y val="1.54078469212210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'sum of survival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24-41B2-9B34-B3285B9ABD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24-41B2-9B34-B3285B9ABD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24-41B2-9B34-B3285B9ABD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24-41B2-9B34-B3285B9ABD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24-41B2-9B34-B3285B9ABD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24-41B2-9B34-B3285B9ABD36}"/>
              </c:ext>
            </c:extLst>
          </c:dPt>
          <c:cat>
            <c:multiLvlStrRef>
              <c:f>'sum of survival by gender'!$A$4:$A$13</c:f>
              <c:multiLvlStrCache>
                <c:ptCount val="6"/>
                <c:lvl>
                  <c:pt idx="0">
                    <c:v>female</c:v>
                  </c:pt>
                  <c:pt idx="1">
                    <c:v>male</c:v>
                  </c:pt>
                  <c:pt idx="2">
                    <c:v>female</c:v>
                  </c:pt>
                  <c:pt idx="3">
                    <c:v>male</c:v>
                  </c:pt>
                  <c:pt idx="4">
                    <c:v>female</c:v>
                  </c:pt>
                  <c:pt idx="5">
                    <c:v>male</c:v>
                  </c:pt>
                </c:lvl>
                <c:lvl>
                  <c:pt idx="0">
                    <c:v>1</c:v>
                  </c:pt>
                  <c:pt idx="2">
                    <c:v>2</c:v>
                  </c:pt>
                  <c:pt idx="4">
                    <c:v>3</c:v>
                  </c:pt>
                </c:lvl>
              </c:multiLvlStrCache>
            </c:multiLvlStrRef>
          </c:cat>
          <c:val>
            <c:numRef>
              <c:f>'sum of survival by gender'!$B$4:$B$13</c:f>
              <c:numCache>
                <c:formatCode>0%</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C-4424-41B2-9B34-B3285B9ABD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(1).xlsx]average survival by agegroup!PivotTable7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Average</a:t>
            </a:r>
            <a:r>
              <a:rPr lang="en-US" sz="1600" b="1" baseline="0">
                <a:solidFill>
                  <a:schemeClr val="tx1"/>
                </a:solidFill>
                <a:latin typeface="+mn-lt"/>
              </a:rPr>
              <a:t>  survival by age group</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0557877338206838"/>
          <c:w val="0.97050279225804925"/>
          <c:h val="0.56882189314125997"/>
        </c:manualLayout>
      </c:layout>
      <c:barChart>
        <c:barDir val="col"/>
        <c:grouping val="clustered"/>
        <c:varyColors val="0"/>
        <c:ser>
          <c:idx val="0"/>
          <c:order val="0"/>
          <c:tx>
            <c:strRef>
              <c:f>'average survival by agegroup'!$B$3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survival by agegroup'!$A$4:$A$16</c:f>
              <c:multiLvlStrCache>
                <c:ptCount val="8"/>
                <c:lvl>
                  <c:pt idx="0">
                    <c:v>female</c:v>
                  </c:pt>
                  <c:pt idx="1">
                    <c:v>male</c:v>
                  </c:pt>
                  <c:pt idx="2">
                    <c:v>female</c:v>
                  </c:pt>
                  <c:pt idx="3">
                    <c:v>male</c:v>
                  </c:pt>
                  <c:pt idx="4">
                    <c:v>female</c:v>
                  </c:pt>
                  <c:pt idx="5">
                    <c:v>male</c:v>
                  </c:pt>
                  <c:pt idx="6">
                    <c:v>female</c:v>
                  </c:pt>
                  <c:pt idx="7">
                    <c:v>male</c:v>
                  </c:pt>
                </c:lvl>
                <c:lvl>
                  <c:pt idx="0">
                    <c:v>ADULT</c:v>
                  </c:pt>
                  <c:pt idx="2">
                    <c:v>ELDER</c:v>
                  </c:pt>
                  <c:pt idx="4">
                    <c:v>TEEN</c:v>
                  </c:pt>
                  <c:pt idx="6">
                    <c:v>YOUTH</c:v>
                  </c:pt>
                </c:lvl>
              </c:multiLvlStrCache>
            </c:multiLvlStrRef>
          </c:cat>
          <c:val>
            <c:numRef>
              <c:f>'average survival by agegroup'!$B$4:$B$16</c:f>
              <c:numCache>
                <c:formatCode>0%</c:formatCode>
                <c:ptCount val="8"/>
                <c:pt idx="0">
                  <c:v>1</c:v>
                </c:pt>
                <c:pt idx="1">
                  <c:v>0</c:v>
                </c:pt>
                <c:pt idx="2">
                  <c:v>1</c:v>
                </c:pt>
                <c:pt idx="3">
                  <c:v>0</c:v>
                </c:pt>
                <c:pt idx="4">
                  <c:v>1</c:v>
                </c:pt>
                <c:pt idx="5">
                  <c:v>0</c:v>
                </c:pt>
                <c:pt idx="6">
                  <c:v>1</c:v>
                </c:pt>
                <c:pt idx="7">
                  <c:v>0</c:v>
                </c:pt>
              </c:numCache>
            </c:numRef>
          </c:val>
          <c:extLst>
            <c:ext xmlns:c16="http://schemas.microsoft.com/office/drawing/2014/chart" uri="{C3380CC4-5D6E-409C-BE32-E72D297353CC}">
              <c16:uniqueId val="{00000000-41F1-4106-8D06-05941D2D6B4E}"/>
            </c:ext>
          </c:extLst>
        </c:ser>
        <c:dLbls>
          <c:dLblPos val="outEnd"/>
          <c:showLegendKey val="0"/>
          <c:showVal val="1"/>
          <c:showCatName val="0"/>
          <c:showSerName val="0"/>
          <c:showPercent val="0"/>
          <c:showBubbleSize val="0"/>
        </c:dLbls>
        <c:gapWidth val="219"/>
        <c:overlap val="-27"/>
        <c:axId val="468499344"/>
        <c:axId val="468494064"/>
      </c:barChart>
      <c:catAx>
        <c:axId val="468499344"/>
        <c:scaling>
          <c:orientation val="minMax"/>
        </c:scaling>
        <c:delete val="1"/>
        <c:axPos val="b"/>
        <c:numFmt formatCode="General" sourceLinked="1"/>
        <c:majorTickMark val="none"/>
        <c:minorTickMark val="none"/>
        <c:tickLblPos val="nextTo"/>
        <c:crossAx val="468494064"/>
        <c:crosses val="autoZero"/>
        <c:auto val="1"/>
        <c:lblAlgn val="ctr"/>
        <c:lblOffset val="100"/>
        <c:noMultiLvlLbl val="0"/>
      </c:catAx>
      <c:valAx>
        <c:axId val="468494064"/>
        <c:scaling>
          <c:orientation val="minMax"/>
        </c:scaling>
        <c:delete val="1"/>
        <c:axPos val="l"/>
        <c:numFmt formatCode="0%" sourceLinked="1"/>
        <c:majorTickMark val="none"/>
        <c:minorTickMark val="none"/>
        <c:tickLblPos val="nextTo"/>
        <c:crossAx val="46849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PASSENGERS</a:t>
            </a:r>
            <a:r>
              <a:rPr lang="en-US" baseline="0"/>
              <a:t> PER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CHARTS'!$B$13:$B$16</c:f>
              <c:strCache>
                <c:ptCount val="3"/>
                <c:pt idx="0">
                  <c:v>1</c:v>
                </c:pt>
                <c:pt idx="1">
                  <c:v>2</c:v>
                </c:pt>
                <c:pt idx="2">
                  <c:v>3</c:v>
                </c:pt>
              </c:strCache>
            </c:strRef>
          </c:cat>
          <c:val>
            <c:numRef>
              <c:f>'ALL CHARTS'!$C$13:$C$16</c:f>
              <c:numCache>
                <c:formatCode>General</c:formatCode>
                <c:ptCount val="3"/>
                <c:pt idx="0">
                  <c:v>20</c:v>
                </c:pt>
                <c:pt idx="1">
                  <c:v>43</c:v>
                </c:pt>
                <c:pt idx="2">
                  <c:v>81</c:v>
                </c:pt>
              </c:numCache>
            </c:numRef>
          </c:val>
          <c:extLst>
            <c:ext xmlns:c16="http://schemas.microsoft.com/office/drawing/2014/chart" uri="{C3380CC4-5D6E-409C-BE32-E72D297353CC}">
              <c16:uniqueId val="{00000000-80D9-44FB-819B-466C5CD29A09}"/>
            </c:ext>
          </c:extLst>
        </c:ser>
        <c:dLbls>
          <c:dLblPos val="outEnd"/>
          <c:showLegendKey val="0"/>
          <c:showVal val="1"/>
          <c:showCatName val="0"/>
          <c:showSerName val="0"/>
          <c:showPercent val="0"/>
          <c:showBubbleSize val="0"/>
        </c:dLbls>
        <c:gapWidth val="219"/>
        <c:overlap val="-27"/>
        <c:axId val="2002980895"/>
        <c:axId val="2002970815"/>
      </c:barChart>
      <c:catAx>
        <c:axId val="20029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70815"/>
        <c:crosses val="autoZero"/>
        <c:auto val="1"/>
        <c:lblAlgn val="ctr"/>
        <c:lblOffset val="100"/>
        <c:noMultiLvlLbl val="0"/>
      </c:catAx>
      <c:valAx>
        <c:axId val="2002970815"/>
        <c:scaling>
          <c:orientation val="minMax"/>
        </c:scaling>
        <c:delete val="1"/>
        <c:axPos val="l"/>
        <c:numFmt formatCode="General" sourceLinked="1"/>
        <c:majorTickMark val="none"/>
        <c:minorTickMark val="none"/>
        <c:tickLblPos val="nextTo"/>
        <c:crossAx val="200298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CHARTS!PivotTable7</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Arial Black" panose="020B0A04020102020204" pitchFamily="34" charset="0"/>
              </a:rPr>
              <a:t>TOTAL</a:t>
            </a:r>
            <a:r>
              <a:rPr lang="en-US" sz="1100" b="1" baseline="0">
                <a:solidFill>
                  <a:schemeClr val="tx1"/>
                </a:solidFill>
                <a:latin typeface="Arial Black" panose="020B0A04020102020204" pitchFamily="34" charset="0"/>
              </a:rPr>
              <a:t> PASSENGERS THAT EMBARKED AT EACH LOCATION</a:t>
            </a:r>
            <a:endParaRPr lang="en-US" sz="11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'ALL CHARTS'!$C$61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8D-4F86-8F01-6F90054912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8D-4F86-8F01-6F90054912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8D-4F86-8F01-6F90054912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CHARTS'!$B$62:$B$65</c:f>
              <c:strCache>
                <c:ptCount val="3"/>
                <c:pt idx="0">
                  <c:v>C</c:v>
                </c:pt>
                <c:pt idx="1">
                  <c:v>Q</c:v>
                </c:pt>
                <c:pt idx="2">
                  <c:v>S</c:v>
                </c:pt>
              </c:strCache>
            </c:strRef>
          </c:cat>
          <c:val>
            <c:numRef>
              <c:f>'ALL CHARTS'!$C$62:$C$65</c:f>
              <c:numCache>
                <c:formatCode>General</c:formatCode>
                <c:ptCount val="3"/>
                <c:pt idx="0">
                  <c:v>26</c:v>
                </c:pt>
                <c:pt idx="1">
                  <c:v>10</c:v>
                </c:pt>
                <c:pt idx="2">
                  <c:v>108</c:v>
                </c:pt>
              </c:numCache>
            </c:numRef>
          </c:val>
          <c:extLst>
            <c:ext xmlns:c16="http://schemas.microsoft.com/office/drawing/2014/chart" uri="{C3380CC4-5D6E-409C-BE32-E72D297353CC}">
              <c16:uniqueId val="{00000000-E9DD-4495-B280-83E510E5077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PASSENGER BY CLASS&amp;GENDER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'ALL CHARTS'!$C$74:$C$75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CHARTS'!$B$76:$B$79</c:f>
              <c:strCache>
                <c:ptCount val="3"/>
                <c:pt idx="0">
                  <c:v>1</c:v>
                </c:pt>
                <c:pt idx="1">
                  <c:v>2</c:v>
                </c:pt>
                <c:pt idx="2">
                  <c:v>3</c:v>
                </c:pt>
              </c:strCache>
            </c:strRef>
          </c:cat>
          <c:val>
            <c:numRef>
              <c:f>'ALL CHARTS'!$C$76:$C$79</c:f>
              <c:numCache>
                <c:formatCode>General</c:formatCode>
                <c:ptCount val="3"/>
                <c:pt idx="0">
                  <c:v>13</c:v>
                </c:pt>
                <c:pt idx="1">
                  <c:v>15</c:v>
                </c:pt>
                <c:pt idx="2">
                  <c:v>26</c:v>
                </c:pt>
              </c:numCache>
            </c:numRef>
          </c:val>
          <c:extLst>
            <c:ext xmlns:c16="http://schemas.microsoft.com/office/drawing/2014/chart" uri="{C3380CC4-5D6E-409C-BE32-E72D297353CC}">
              <c16:uniqueId val="{00000000-F292-45F2-BBB1-214DB075F2EE}"/>
            </c:ext>
          </c:extLst>
        </c:ser>
        <c:ser>
          <c:idx val="1"/>
          <c:order val="1"/>
          <c:tx>
            <c:strRef>
              <c:f>'ALL CHARTS'!$D$74:$D$75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CHARTS'!$B$76:$B$79</c:f>
              <c:strCache>
                <c:ptCount val="3"/>
                <c:pt idx="0">
                  <c:v>1</c:v>
                </c:pt>
                <c:pt idx="1">
                  <c:v>2</c:v>
                </c:pt>
                <c:pt idx="2">
                  <c:v>3</c:v>
                </c:pt>
              </c:strCache>
            </c:strRef>
          </c:cat>
          <c:val>
            <c:numRef>
              <c:f>'ALL CHARTS'!$D$76:$D$79</c:f>
              <c:numCache>
                <c:formatCode>General</c:formatCode>
                <c:ptCount val="3"/>
                <c:pt idx="0">
                  <c:v>7</c:v>
                </c:pt>
                <c:pt idx="1">
                  <c:v>28</c:v>
                </c:pt>
                <c:pt idx="2">
                  <c:v>55</c:v>
                </c:pt>
              </c:numCache>
            </c:numRef>
          </c:val>
          <c:extLst>
            <c:ext xmlns:c16="http://schemas.microsoft.com/office/drawing/2014/chart" uri="{C3380CC4-5D6E-409C-BE32-E72D297353CC}">
              <c16:uniqueId val="{00000000-9E55-402A-A3C0-A5D0BE40E2A1}"/>
            </c:ext>
          </c:extLst>
        </c:ser>
        <c:dLbls>
          <c:dLblPos val="outEnd"/>
          <c:showLegendKey val="0"/>
          <c:showVal val="1"/>
          <c:showCatName val="0"/>
          <c:showSerName val="0"/>
          <c:showPercent val="0"/>
          <c:showBubbleSize val="0"/>
        </c:dLbls>
        <c:gapWidth val="219"/>
        <c:overlap val="-27"/>
        <c:axId val="440871616"/>
        <c:axId val="440867776"/>
      </c:barChart>
      <c:catAx>
        <c:axId val="440871616"/>
        <c:scaling>
          <c:orientation val="minMax"/>
        </c:scaling>
        <c:delete val="1"/>
        <c:axPos val="b"/>
        <c:numFmt formatCode="General" sourceLinked="1"/>
        <c:majorTickMark val="none"/>
        <c:minorTickMark val="none"/>
        <c:tickLblPos val="nextTo"/>
        <c:crossAx val="440867776"/>
        <c:crosses val="autoZero"/>
        <c:auto val="1"/>
        <c:lblAlgn val="ctr"/>
        <c:lblOffset val="100"/>
        <c:noMultiLvlLbl val="0"/>
      </c:catAx>
      <c:valAx>
        <c:axId val="440867776"/>
        <c:scaling>
          <c:orientation val="minMax"/>
        </c:scaling>
        <c:delete val="1"/>
        <c:axPos val="l"/>
        <c:numFmt formatCode="General" sourceLinked="1"/>
        <c:majorTickMark val="none"/>
        <c:minorTickMark val="none"/>
        <c:tickLblPos val="nextTo"/>
        <c:crossAx val="44087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900" b="1">
                <a:solidFill>
                  <a:schemeClr val="tx1"/>
                </a:solidFill>
                <a:effectLst/>
                <a:latin typeface="Arial Black" panose="020B0A04020102020204" pitchFamily="34" charset="0"/>
              </a:rPr>
              <a:t>PASSENGERS</a:t>
            </a:r>
            <a:r>
              <a:rPr lang="en-US" sz="900" b="1" baseline="0">
                <a:solidFill>
                  <a:schemeClr val="tx1"/>
                </a:solidFill>
                <a:effectLst/>
                <a:latin typeface="Arial Black" panose="020B0A04020102020204" pitchFamily="34" charset="0"/>
              </a:rPr>
              <a:t> THAT HAD SILBLINGS ON BOARD</a:t>
            </a:r>
            <a:endParaRPr lang="en-US" sz="900">
              <a:solidFill>
                <a:schemeClr val="tx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900" b="0" i="0" baseline="0">
                <a:effectLst/>
              </a:rPr>
              <a:t> </a:t>
            </a:r>
            <a:endParaRPr lang="en-US" sz="900">
              <a:effectLst/>
            </a:endParaRPr>
          </a:p>
        </c:rich>
      </c:tx>
      <c:layout>
        <c:manualLayout>
          <c:xMode val="edge"/>
          <c:yMode val="edge"/>
          <c:x val="0.15033120787800652"/>
          <c:y val="0.1192203298943324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CHARTS'!$C$45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CHARTS'!$B$46:$B$48</c:f>
              <c:strCache>
                <c:ptCount val="2"/>
                <c:pt idx="0">
                  <c:v>NO</c:v>
                </c:pt>
                <c:pt idx="1">
                  <c:v>YES</c:v>
                </c:pt>
              </c:strCache>
            </c:strRef>
          </c:cat>
          <c:val>
            <c:numRef>
              <c:f>'ALL CHARTS'!$C$46:$C$48</c:f>
              <c:numCache>
                <c:formatCode>General</c:formatCode>
                <c:ptCount val="2"/>
                <c:pt idx="0">
                  <c:v>105</c:v>
                </c:pt>
                <c:pt idx="1">
                  <c:v>39</c:v>
                </c:pt>
              </c:numCache>
            </c:numRef>
          </c:val>
          <c:extLst>
            <c:ext xmlns:c16="http://schemas.microsoft.com/office/drawing/2014/chart" uri="{C3380CC4-5D6E-409C-BE32-E72D297353CC}">
              <c16:uniqueId val="{00000000-2FB6-421A-8A29-556A294392F5}"/>
            </c:ext>
          </c:extLst>
        </c:ser>
        <c:dLbls>
          <c:dLblPos val="outEnd"/>
          <c:showLegendKey val="0"/>
          <c:showVal val="1"/>
          <c:showCatName val="0"/>
          <c:showSerName val="0"/>
          <c:showPercent val="0"/>
          <c:showBubbleSize val="0"/>
        </c:dLbls>
        <c:gapWidth val="182"/>
        <c:axId val="911191712"/>
        <c:axId val="911189792"/>
      </c:barChart>
      <c:catAx>
        <c:axId val="911191712"/>
        <c:scaling>
          <c:orientation val="minMax"/>
        </c:scaling>
        <c:delete val="1"/>
        <c:axPos val="l"/>
        <c:numFmt formatCode="General" sourceLinked="1"/>
        <c:majorTickMark val="none"/>
        <c:minorTickMark val="none"/>
        <c:tickLblPos val="nextTo"/>
        <c:crossAx val="911189792"/>
        <c:crosses val="autoZero"/>
        <c:auto val="1"/>
        <c:lblAlgn val="ctr"/>
        <c:lblOffset val="100"/>
        <c:noMultiLvlLbl val="0"/>
      </c:catAx>
      <c:valAx>
        <c:axId val="911189792"/>
        <c:scaling>
          <c:orientation val="minMax"/>
        </c:scaling>
        <c:delete val="1"/>
        <c:axPos val="b"/>
        <c:numFmt formatCode="General" sourceLinked="1"/>
        <c:majorTickMark val="none"/>
        <c:minorTickMark val="none"/>
        <c:tickLblPos val="nextTo"/>
        <c:crossAx val="91119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TOTAL PASSENGER THAT SURVIVED by age group</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CHARTS'!$C$33</c:f>
              <c:strCache>
                <c:ptCount val="1"/>
                <c:pt idx="0">
                  <c:v>Total</c:v>
                </c:pt>
              </c:strCache>
            </c:strRef>
          </c:tx>
          <c:spPr>
            <a:solidFill>
              <a:schemeClr val="accent1"/>
            </a:solidFill>
            <a:ln>
              <a:noFill/>
            </a:ln>
            <a:effectLst/>
          </c:spPr>
          <c:invertIfNegative val="0"/>
          <c:cat>
            <c:strRef>
              <c:f>'ALL CHARTS'!$B$34:$B$38</c:f>
              <c:strCache>
                <c:ptCount val="4"/>
                <c:pt idx="0">
                  <c:v>ELDER</c:v>
                </c:pt>
                <c:pt idx="1">
                  <c:v>TEEN</c:v>
                </c:pt>
                <c:pt idx="2">
                  <c:v>YOUTH</c:v>
                </c:pt>
                <c:pt idx="3">
                  <c:v>ADULT</c:v>
                </c:pt>
              </c:strCache>
            </c:strRef>
          </c:cat>
          <c:val>
            <c:numRef>
              <c:f>'ALL CHARTS'!$C$34:$C$38</c:f>
              <c:numCache>
                <c:formatCode>General</c:formatCode>
                <c:ptCount val="4"/>
                <c:pt idx="0">
                  <c:v>14</c:v>
                </c:pt>
                <c:pt idx="1">
                  <c:v>41</c:v>
                </c:pt>
                <c:pt idx="2">
                  <c:v>144</c:v>
                </c:pt>
                <c:pt idx="3">
                  <c:v>219</c:v>
                </c:pt>
              </c:numCache>
            </c:numRef>
          </c:val>
          <c:extLst>
            <c:ext xmlns:c16="http://schemas.microsoft.com/office/drawing/2014/chart" uri="{C3380CC4-5D6E-409C-BE32-E72D297353CC}">
              <c16:uniqueId val="{00000000-E69E-47C9-A3CC-898AB1CDD109}"/>
            </c:ext>
          </c:extLst>
        </c:ser>
        <c:dLbls>
          <c:showLegendKey val="0"/>
          <c:showVal val="0"/>
          <c:showCatName val="0"/>
          <c:showSerName val="0"/>
          <c:showPercent val="0"/>
          <c:showBubbleSize val="0"/>
        </c:dLbls>
        <c:gapWidth val="182"/>
        <c:axId val="2000653264"/>
        <c:axId val="2000653744"/>
      </c:barChart>
      <c:catAx>
        <c:axId val="200065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53744"/>
        <c:crosses val="autoZero"/>
        <c:auto val="1"/>
        <c:lblAlgn val="ctr"/>
        <c:lblOffset val="100"/>
        <c:noMultiLvlLbl val="0"/>
      </c:catAx>
      <c:valAx>
        <c:axId val="200065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CHARTS!PivotTable13</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0" i="0" baseline="0">
                <a:effectLst/>
              </a:rPr>
              <a:t>survival from Embaked port</a:t>
            </a:r>
            <a:endParaRPr lang="en-US">
              <a:effectLst/>
            </a:endParaRPr>
          </a:p>
        </c:rich>
      </c:tx>
      <c:layout>
        <c:manualLayout>
          <c:xMode val="edge"/>
          <c:yMode val="edge"/>
          <c:x val="0.43575317604355718"/>
          <c:y val="8.69370823915149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CHARTS'!$C$127</c:f>
              <c:strCache>
                <c:ptCount val="1"/>
                <c:pt idx="0">
                  <c:v>Total</c:v>
                </c:pt>
              </c:strCache>
            </c:strRef>
          </c:tx>
          <c:spPr>
            <a:solidFill>
              <a:schemeClr val="accent1"/>
            </a:solidFill>
            <a:ln>
              <a:noFill/>
            </a:ln>
            <a:effectLst/>
          </c:spPr>
          <c:invertIfNegative val="0"/>
          <c:cat>
            <c:strRef>
              <c:f>'ALL CHARTS'!$B$128:$B$131</c:f>
              <c:strCache>
                <c:ptCount val="3"/>
                <c:pt idx="0">
                  <c:v>S</c:v>
                </c:pt>
                <c:pt idx="1">
                  <c:v>C</c:v>
                </c:pt>
                <c:pt idx="2">
                  <c:v>Q</c:v>
                </c:pt>
              </c:strCache>
            </c:strRef>
          </c:cat>
          <c:val>
            <c:numRef>
              <c:f>'ALL CHARTS'!$C$128:$C$131</c:f>
              <c:numCache>
                <c:formatCode>General</c:formatCode>
                <c:ptCount val="3"/>
                <c:pt idx="0">
                  <c:v>108</c:v>
                </c:pt>
                <c:pt idx="1">
                  <c:v>26</c:v>
                </c:pt>
                <c:pt idx="2">
                  <c:v>10</c:v>
                </c:pt>
              </c:numCache>
            </c:numRef>
          </c:val>
          <c:extLst>
            <c:ext xmlns:c16="http://schemas.microsoft.com/office/drawing/2014/chart" uri="{C3380CC4-5D6E-409C-BE32-E72D297353CC}">
              <c16:uniqueId val="{00000000-A1CB-4BDD-A8E6-53D5F9A615E3}"/>
            </c:ext>
          </c:extLst>
        </c:ser>
        <c:dLbls>
          <c:showLegendKey val="0"/>
          <c:showVal val="0"/>
          <c:showCatName val="0"/>
          <c:showSerName val="0"/>
          <c:showPercent val="0"/>
          <c:showBubbleSize val="0"/>
        </c:dLbls>
        <c:gapWidth val="219"/>
        <c:overlap val="-27"/>
        <c:axId val="1639528944"/>
        <c:axId val="1639515024"/>
      </c:barChart>
      <c:catAx>
        <c:axId val="163952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15024"/>
        <c:crosses val="autoZero"/>
        <c:auto val="1"/>
        <c:lblAlgn val="ctr"/>
        <c:lblOffset val="100"/>
        <c:noMultiLvlLbl val="0"/>
      </c:catAx>
      <c:valAx>
        <c:axId val="1639515024"/>
        <c:scaling>
          <c:orientation val="minMax"/>
        </c:scaling>
        <c:delete val="1"/>
        <c:axPos val="l"/>
        <c:numFmt formatCode="General" sourceLinked="1"/>
        <c:majorTickMark val="none"/>
        <c:minorTickMark val="none"/>
        <c:tickLblPos val="nextTo"/>
        <c:crossAx val="163952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chemeClr val="tx1"/>
                </a:solidFill>
                <a:effectLst/>
                <a:latin typeface="Arial Black" panose="020B0A04020102020204" pitchFamily="34" charset="0"/>
              </a:rPr>
              <a:t>TOTAL PASSENGERS WITH CHILDREN ON BOARD</a:t>
            </a:r>
            <a:endParaRPr lang="en-US" sz="1050" b="1">
              <a:solidFill>
                <a:schemeClr val="tx1"/>
              </a:solidFill>
              <a:effectLst/>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CHARTS'!$C$53</c:f>
              <c:strCache>
                <c:ptCount val="1"/>
                <c:pt idx="0">
                  <c:v>Total</c:v>
                </c:pt>
              </c:strCache>
            </c:strRef>
          </c:tx>
          <c:spPr>
            <a:solidFill>
              <a:schemeClr val="accent1"/>
            </a:solidFill>
            <a:ln>
              <a:noFill/>
            </a:ln>
            <a:effectLst/>
          </c:spPr>
          <c:invertIfNegative val="0"/>
          <c:cat>
            <c:strRef>
              <c:f>'ALL CHARTS'!$B$54:$B$56</c:f>
              <c:strCache>
                <c:ptCount val="2"/>
                <c:pt idx="0">
                  <c:v>NO</c:v>
                </c:pt>
                <c:pt idx="1">
                  <c:v>YES</c:v>
                </c:pt>
              </c:strCache>
            </c:strRef>
          </c:cat>
          <c:val>
            <c:numRef>
              <c:f>'ALL CHARTS'!$C$54:$C$56</c:f>
              <c:numCache>
                <c:formatCode>General</c:formatCode>
                <c:ptCount val="2"/>
                <c:pt idx="0">
                  <c:v>124</c:v>
                </c:pt>
                <c:pt idx="1">
                  <c:v>20</c:v>
                </c:pt>
              </c:numCache>
            </c:numRef>
          </c:val>
          <c:extLst>
            <c:ext xmlns:c16="http://schemas.microsoft.com/office/drawing/2014/chart" uri="{C3380CC4-5D6E-409C-BE32-E72D297353CC}">
              <c16:uniqueId val="{00000000-304E-4471-B721-B5D931464825}"/>
            </c:ext>
          </c:extLst>
        </c:ser>
        <c:dLbls>
          <c:showLegendKey val="0"/>
          <c:showVal val="0"/>
          <c:showCatName val="0"/>
          <c:showSerName val="0"/>
          <c:showPercent val="0"/>
          <c:showBubbleSize val="0"/>
        </c:dLbls>
        <c:gapWidth val="219"/>
        <c:overlap val="-27"/>
        <c:axId val="1639536144"/>
        <c:axId val="1639536624"/>
      </c:barChart>
      <c:catAx>
        <c:axId val="16395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36624"/>
        <c:crosses val="autoZero"/>
        <c:auto val="1"/>
        <c:lblAlgn val="ctr"/>
        <c:lblOffset val="100"/>
        <c:noMultiLvlLbl val="0"/>
      </c:catAx>
      <c:valAx>
        <c:axId val="1639536624"/>
        <c:scaling>
          <c:orientation val="minMax"/>
        </c:scaling>
        <c:delete val="1"/>
        <c:axPos val="l"/>
        <c:numFmt formatCode="General" sourceLinked="1"/>
        <c:majorTickMark val="none"/>
        <c:minorTickMark val="none"/>
        <c:tickLblPos val="nextTo"/>
        <c:crossAx val="163953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TOTAL MALE AND FEMALE PASSENGERS THAT SURVIVED</a:t>
            </a:r>
            <a:endParaRPr lang="en-US"/>
          </a:p>
        </c:rich>
      </c:tx>
      <c:layout>
        <c:manualLayout>
          <c:xMode val="edge"/>
          <c:yMode val="edge"/>
          <c:x val="0.23002147966225864"/>
          <c:y val="8.01554629548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CHARTS'!$B$97:$B$99</c:f>
              <c:strCache>
                <c:ptCount val="2"/>
                <c:pt idx="0">
                  <c:v>female</c:v>
                </c:pt>
                <c:pt idx="1">
                  <c:v>male</c:v>
                </c:pt>
              </c:strCache>
            </c:strRef>
          </c:cat>
          <c:val>
            <c:numRef>
              <c:f>'ALL CHARTS'!$C$97:$C$99</c:f>
              <c:numCache>
                <c:formatCode>General</c:formatCode>
                <c:ptCount val="2"/>
                <c:pt idx="0">
                  <c:v>54</c:v>
                </c:pt>
                <c:pt idx="1">
                  <c:v>0</c:v>
                </c:pt>
              </c:numCache>
            </c:numRef>
          </c:val>
          <c:extLst>
            <c:ext xmlns:c16="http://schemas.microsoft.com/office/drawing/2014/chart" uri="{C3380CC4-5D6E-409C-BE32-E72D297353CC}">
              <c16:uniqueId val="{00000000-8BBE-4C70-9BA1-614C0140F08E}"/>
            </c:ext>
          </c:extLst>
        </c:ser>
        <c:dLbls>
          <c:dLblPos val="outEnd"/>
          <c:showLegendKey val="0"/>
          <c:showVal val="1"/>
          <c:showCatName val="0"/>
          <c:showSerName val="0"/>
          <c:showPercent val="0"/>
          <c:showBubbleSize val="0"/>
        </c:dLbls>
        <c:gapWidth val="219"/>
        <c:overlap val="-27"/>
        <c:axId val="1639521264"/>
        <c:axId val="1639510704"/>
      </c:barChart>
      <c:catAx>
        <c:axId val="16395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10704"/>
        <c:crosses val="autoZero"/>
        <c:auto val="1"/>
        <c:lblAlgn val="ctr"/>
        <c:lblOffset val="100"/>
        <c:noMultiLvlLbl val="0"/>
      </c:catAx>
      <c:valAx>
        <c:axId val="1639510704"/>
        <c:scaling>
          <c:orientation val="minMax"/>
        </c:scaling>
        <c:delete val="1"/>
        <c:axPos val="l"/>
        <c:numFmt formatCode="General" sourceLinked="1"/>
        <c:majorTickMark val="none"/>
        <c:minorTickMark val="none"/>
        <c:tickLblPos val="nextTo"/>
        <c:crossAx val="1639521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 </a:t>
            </a:r>
            <a:r>
              <a:rPr lang="en-US" sz="1100" b="1" i="0" baseline="0">
                <a:solidFill>
                  <a:schemeClr val="tx1"/>
                </a:solidFill>
                <a:effectLst/>
                <a:latin typeface="Arial Black" panose="020B0A04020102020204" pitchFamily="34" charset="0"/>
              </a:rPr>
              <a:t>TOTAL PASSENGER THAT SURVIVED/DIED</a:t>
            </a:r>
            <a:endParaRPr lang="en-US" sz="1200" b="1">
              <a:solidFill>
                <a:schemeClr val="tx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7607125950915747"/>
          <c:y val="6.861491306875230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CHARTS'!$C$85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7C-4A9F-95A8-7B1BE0A0B64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7C-4A9F-95A8-7B1BE0A0B6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CHARTS'!$B$86:$B$88</c:f>
              <c:strCache>
                <c:ptCount val="2"/>
                <c:pt idx="0">
                  <c:v>0</c:v>
                </c:pt>
                <c:pt idx="1">
                  <c:v>1</c:v>
                </c:pt>
              </c:strCache>
            </c:strRef>
          </c:cat>
          <c:val>
            <c:numRef>
              <c:f>'ALL CHARTS'!$C$86:$C$88</c:f>
              <c:numCache>
                <c:formatCode>General</c:formatCode>
                <c:ptCount val="2"/>
                <c:pt idx="0">
                  <c:v>90</c:v>
                </c:pt>
                <c:pt idx="1">
                  <c:v>54</c:v>
                </c:pt>
              </c:numCache>
            </c:numRef>
          </c:val>
          <c:extLst>
            <c:ext xmlns:c16="http://schemas.microsoft.com/office/drawing/2014/chart" uri="{C3380CC4-5D6E-409C-BE32-E72D297353CC}">
              <c16:uniqueId val="{00000000-9A95-4C73-90C4-06595D86AE7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solidFill>
                  <a:schemeClr val="tx1"/>
                </a:solidFill>
                <a:effectLst/>
                <a:latin typeface="Arial Black" panose="020B0A04020102020204" pitchFamily="34" charset="0"/>
              </a:rPr>
              <a:t>TOTAL SURVIVAL PER CLASS</a:t>
            </a:r>
            <a:endParaRPr lang="en-US" sz="1200" b="1">
              <a:solidFill>
                <a:schemeClr val="tx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CHARTS'!$B$108:$B$111</c:f>
              <c:strCache>
                <c:ptCount val="3"/>
                <c:pt idx="0">
                  <c:v>3</c:v>
                </c:pt>
                <c:pt idx="1">
                  <c:v>2</c:v>
                </c:pt>
                <c:pt idx="2">
                  <c:v>1</c:v>
                </c:pt>
              </c:strCache>
            </c:strRef>
          </c:cat>
          <c:val>
            <c:numRef>
              <c:f>'ALL CHARTS'!$C$108:$C$111</c:f>
              <c:numCache>
                <c:formatCode>General</c:formatCode>
                <c:ptCount val="3"/>
                <c:pt idx="0">
                  <c:v>26</c:v>
                </c:pt>
                <c:pt idx="1">
                  <c:v>15</c:v>
                </c:pt>
                <c:pt idx="2">
                  <c:v>13</c:v>
                </c:pt>
              </c:numCache>
            </c:numRef>
          </c:val>
          <c:extLst>
            <c:ext xmlns:c16="http://schemas.microsoft.com/office/drawing/2014/chart" uri="{C3380CC4-5D6E-409C-BE32-E72D297353CC}">
              <c16:uniqueId val="{00000000-DB66-4777-B6C4-49B106485FC3}"/>
            </c:ext>
          </c:extLst>
        </c:ser>
        <c:dLbls>
          <c:dLblPos val="outEnd"/>
          <c:showLegendKey val="0"/>
          <c:showVal val="1"/>
          <c:showCatName val="0"/>
          <c:showSerName val="0"/>
          <c:showPercent val="0"/>
          <c:showBubbleSize val="0"/>
        </c:dLbls>
        <c:gapWidth val="219"/>
        <c:overlap val="-27"/>
        <c:axId val="1639535184"/>
        <c:axId val="1639537584"/>
      </c:barChart>
      <c:catAx>
        <c:axId val="16395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37584"/>
        <c:crosses val="autoZero"/>
        <c:auto val="1"/>
        <c:lblAlgn val="ctr"/>
        <c:lblOffset val="100"/>
        <c:noMultiLvlLbl val="0"/>
      </c:catAx>
      <c:valAx>
        <c:axId val="1639537584"/>
        <c:scaling>
          <c:orientation val="minMax"/>
        </c:scaling>
        <c:delete val="1"/>
        <c:axPos val="l"/>
        <c:numFmt formatCode="General" sourceLinked="1"/>
        <c:majorTickMark val="none"/>
        <c:minorTickMark val="none"/>
        <c:tickLblPos val="nextTo"/>
        <c:crossAx val="163953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CHARTS'!$C$117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4BD-43AE-8FDF-E26F5EF335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BD-43AE-8FDF-E26F5EF335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4BD-43AE-8FDF-E26F5EF335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4BD-43AE-8FDF-E26F5EF335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CHARTS'!$B$118:$B$119</c:f>
              <c:strCache>
                <c:ptCount val="1"/>
                <c:pt idx="0">
                  <c:v>YOUTH</c:v>
                </c:pt>
              </c:strCache>
            </c:strRef>
          </c:cat>
          <c:val>
            <c:numRef>
              <c:f>'ALL CHARTS'!$C$118:$C$119</c:f>
              <c:numCache>
                <c:formatCode>General</c:formatCode>
                <c:ptCount val="1"/>
                <c:pt idx="0">
                  <c:v>54</c:v>
                </c:pt>
              </c:numCache>
            </c:numRef>
          </c:val>
          <c:extLst>
            <c:ext xmlns:c16="http://schemas.microsoft.com/office/drawing/2014/chart" uri="{C3380CC4-5D6E-409C-BE32-E72D297353CC}">
              <c16:uniqueId val="{00000000-371E-4252-BD52-497063AF203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 RATIO PER CLASS &amp; Gender</a:t>
            </a:r>
            <a:endParaRPr lang="en-US" b="1">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'ALL CHARTS'!$C$138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'ALL CHARTS'!$B$139:$B$148</c:f>
              <c:multiLvlStrCache>
                <c:ptCount val="6"/>
                <c:lvl>
                  <c:pt idx="0">
                    <c:v>female</c:v>
                  </c:pt>
                  <c:pt idx="1">
                    <c:v>male</c:v>
                  </c:pt>
                  <c:pt idx="2">
                    <c:v>female</c:v>
                  </c:pt>
                  <c:pt idx="3">
                    <c:v>male</c:v>
                  </c:pt>
                  <c:pt idx="4">
                    <c:v>female</c:v>
                  </c:pt>
                  <c:pt idx="5">
                    <c:v>male</c:v>
                  </c:pt>
                </c:lvl>
                <c:lvl>
                  <c:pt idx="0">
                    <c:v>1</c:v>
                  </c:pt>
                  <c:pt idx="2">
                    <c:v>2</c:v>
                  </c:pt>
                  <c:pt idx="4">
                    <c:v>3</c:v>
                  </c:pt>
                </c:lvl>
              </c:multiLvlStrCache>
            </c:multiLvlStrRef>
          </c:cat>
          <c:val>
            <c:numRef>
              <c:f>'ALL CHARTS'!$C$139:$C$148</c:f>
              <c:numCache>
                <c:formatCode>General</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0-5D0D-4BCA-A60B-1AF05DE5580B}"/>
            </c:ext>
          </c:extLst>
        </c:ser>
        <c:dLbls>
          <c:showLegendKey val="0"/>
          <c:showVal val="1"/>
          <c:showCatName val="0"/>
          <c:showSerName val="0"/>
          <c:showPercent val="0"/>
          <c:showBubbleSize val="0"/>
        </c:dLbls>
        <c:gapWidth val="150"/>
        <c:shape val="box"/>
        <c:axId val="1742281584"/>
        <c:axId val="1742265264"/>
        <c:axId val="1746042416"/>
      </c:bar3DChart>
      <c:catAx>
        <c:axId val="174228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65264"/>
        <c:crosses val="autoZero"/>
        <c:auto val="1"/>
        <c:lblAlgn val="ctr"/>
        <c:lblOffset val="100"/>
        <c:noMultiLvlLbl val="0"/>
      </c:catAx>
      <c:valAx>
        <c:axId val="1742265264"/>
        <c:scaling>
          <c:orientation val="minMax"/>
        </c:scaling>
        <c:delete val="1"/>
        <c:axPos val="l"/>
        <c:numFmt formatCode="General" sourceLinked="1"/>
        <c:majorTickMark val="none"/>
        <c:minorTickMark val="none"/>
        <c:tickLblPos val="nextTo"/>
        <c:crossAx val="1742281584"/>
        <c:crosses val="autoZero"/>
        <c:crossBetween val="between"/>
      </c:valAx>
      <c:serAx>
        <c:axId val="17460424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6526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MALE AND FEMALE PASSENGERS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'ALL CHARTS'!$C$21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06-4335-87D4-2A4CD7CE65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06-4335-87D4-2A4CD7CE65AC}"/>
              </c:ext>
            </c:extLst>
          </c:dPt>
          <c:cat>
            <c:strRef>
              <c:f>'ALL CHARTS'!$B$22:$B$24</c:f>
              <c:strCache>
                <c:ptCount val="2"/>
                <c:pt idx="0">
                  <c:v>male</c:v>
                </c:pt>
                <c:pt idx="1">
                  <c:v>female</c:v>
                </c:pt>
              </c:strCache>
            </c:strRef>
          </c:cat>
          <c:val>
            <c:numRef>
              <c:f>'ALL CHARTS'!$C$22:$C$24</c:f>
              <c:numCache>
                <c:formatCode>General</c:formatCode>
                <c:ptCount val="2"/>
                <c:pt idx="0">
                  <c:v>90</c:v>
                </c:pt>
                <c:pt idx="1">
                  <c:v>54</c:v>
                </c:pt>
              </c:numCache>
            </c:numRef>
          </c:val>
          <c:extLst>
            <c:ext xmlns:c16="http://schemas.microsoft.com/office/drawing/2014/chart" uri="{C3380CC4-5D6E-409C-BE32-E72D297353CC}">
              <c16:uniqueId val="{00000000-CE2E-40EF-83FD-87A9A2CBD3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CHARTS!PivotTable6</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0" i="0" baseline="0">
                <a:solidFill>
                  <a:schemeClr val="bg1"/>
                </a:solidFill>
                <a:effectLst/>
                <a:latin typeface="Arial Black" panose="020B0A04020102020204" pitchFamily="34" charset="0"/>
              </a:rPr>
              <a:t> PASSENGERS WITH CHILDREN ON BOARD</a:t>
            </a:r>
            <a:endParaRPr lang="en-US" sz="1800" b="0">
              <a:solidFill>
                <a:schemeClr val="bg1"/>
              </a:solidFill>
              <a:effectLst/>
              <a:latin typeface="Arial Black" panose="020B0A04020102020204" pitchFamily="34" charset="0"/>
            </a:endParaRPr>
          </a:p>
        </c:rich>
      </c:tx>
      <c:layout>
        <c:manualLayout>
          <c:xMode val="edge"/>
          <c:yMode val="edge"/>
          <c:x val="0.16198992125984255"/>
          <c:y val="1.7339956145674558E-3"/>
        </c:manualLayout>
      </c:layout>
      <c:overlay val="0"/>
      <c:spPr>
        <a:solidFill>
          <a:schemeClr val="tx1"/>
        </a:solid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09771397598186E-3"/>
          <c:y val="0.23552353765803757"/>
          <c:w val="0.90571430692591515"/>
          <c:h val="0.6462045551765313"/>
        </c:manualLayout>
      </c:layout>
      <c:barChart>
        <c:barDir val="col"/>
        <c:grouping val="clustered"/>
        <c:varyColors val="0"/>
        <c:ser>
          <c:idx val="0"/>
          <c:order val="0"/>
          <c:tx>
            <c:strRef>
              <c:f>'ALL CHARTS'!$C$53</c:f>
              <c:strCache>
                <c:ptCount val="1"/>
                <c:pt idx="0">
                  <c:v>Total</c:v>
                </c:pt>
              </c:strCache>
            </c:strRef>
          </c:tx>
          <c:spPr>
            <a:solidFill>
              <a:schemeClr val="accent2">
                <a:lumMod val="50000"/>
              </a:schemeClr>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CHARTS'!$B$54:$B$56</c:f>
              <c:strCache>
                <c:ptCount val="2"/>
                <c:pt idx="0">
                  <c:v>NO</c:v>
                </c:pt>
                <c:pt idx="1">
                  <c:v>YES</c:v>
                </c:pt>
              </c:strCache>
            </c:strRef>
          </c:cat>
          <c:val>
            <c:numRef>
              <c:f>'ALL CHARTS'!$C$54:$C$56</c:f>
              <c:numCache>
                <c:formatCode>General</c:formatCode>
                <c:ptCount val="2"/>
                <c:pt idx="0">
                  <c:v>124</c:v>
                </c:pt>
                <c:pt idx="1">
                  <c:v>20</c:v>
                </c:pt>
              </c:numCache>
            </c:numRef>
          </c:val>
          <c:extLst>
            <c:ext xmlns:c16="http://schemas.microsoft.com/office/drawing/2014/chart" uri="{C3380CC4-5D6E-409C-BE32-E72D297353CC}">
              <c16:uniqueId val="{00000000-6D40-42E2-9D41-B7D275CA1CD2}"/>
            </c:ext>
          </c:extLst>
        </c:ser>
        <c:dLbls>
          <c:dLblPos val="outEnd"/>
          <c:showLegendKey val="0"/>
          <c:showVal val="1"/>
          <c:showCatName val="0"/>
          <c:showSerName val="0"/>
          <c:showPercent val="0"/>
          <c:showBubbleSize val="0"/>
        </c:dLbls>
        <c:gapWidth val="219"/>
        <c:overlap val="-27"/>
        <c:axId val="1639536144"/>
        <c:axId val="1639536624"/>
      </c:barChart>
      <c:catAx>
        <c:axId val="16395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639536624"/>
        <c:crosses val="autoZero"/>
        <c:auto val="1"/>
        <c:lblAlgn val="ctr"/>
        <c:lblOffset val="100"/>
        <c:noMultiLvlLbl val="0"/>
      </c:catAx>
      <c:valAx>
        <c:axId val="1639536624"/>
        <c:scaling>
          <c:orientation val="minMax"/>
        </c:scaling>
        <c:delete val="1"/>
        <c:axPos val="l"/>
        <c:numFmt formatCode="General" sourceLinked="1"/>
        <c:majorTickMark val="none"/>
        <c:minorTickMark val="none"/>
        <c:tickLblPos val="nextTo"/>
        <c:crossAx val="1639536144"/>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CHARTS!PivotTable2</c:name>
    <c:fmtId val="6"/>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b="1">
                <a:solidFill>
                  <a:schemeClr val="bg1"/>
                </a:solidFill>
                <a:latin typeface="Arial Black" panose="020B0A04020102020204" pitchFamily="34" charset="0"/>
              </a:rPr>
              <a:t>PASSENGERS PER CLASS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2311978997167"/>
          <c:y val="0.50845611633051135"/>
          <c:w val="0.65153398643279592"/>
          <c:h val="0.4120369191816684"/>
        </c:manualLayout>
      </c:layout>
      <c:barChart>
        <c:barDir val="col"/>
        <c:grouping val="clustered"/>
        <c:varyColors val="0"/>
        <c:ser>
          <c:idx val="0"/>
          <c:order val="0"/>
          <c:tx>
            <c:strRef>
              <c:f>'ALL CHARTS'!$C$12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CHARTS'!$B$13:$B$16</c:f>
              <c:strCache>
                <c:ptCount val="3"/>
                <c:pt idx="0">
                  <c:v>1</c:v>
                </c:pt>
                <c:pt idx="1">
                  <c:v>2</c:v>
                </c:pt>
                <c:pt idx="2">
                  <c:v>3</c:v>
                </c:pt>
              </c:strCache>
            </c:strRef>
          </c:cat>
          <c:val>
            <c:numRef>
              <c:f>'ALL CHARTS'!$C$13:$C$16</c:f>
              <c:numCache>
                <c:formatCode>General</c:formatCode>
                <c:ptCount val="3"/>
                <c:pt idx="0">
                  <c:v>20</c:v>
                </c:pt>
                <c:pt idx="1">
                  <c:v>43</c:v>
                </c:pt>
                <c:pt idx="2">
                  <c:v>81</c:v>
                </c:pt>
              </c:numCache>
            </c:numRef>
          </c:val>
          <c:extLst>
            <c:ext xmlns:c16="http://schemas.microsoft.com/office/drawing/2014/chart" uri="{C3380CC4-5D6E-409C-BE32-E72D297353CC}">
              <c16:uniqueId val="{00000004-E618-4D93-BA97-F78EA3E34F5C}"/>
            </c:ext>
          </c:extLst>
        </c:ser>
        <c:dLbls>
          <c:dLblPos val="outEnd"/>
          <c:showLegendKey val="0"/>
          <c:showVal val="1"/>
          <c:showCatName val="0"/>
          <c:showSerName val="0"/>
          <c:showPercent val="0"/>
          <c:showBubbleSize val="0"/>
        </c:dLbls>
        <c:gapWidth val="219"/>
        <c:overlap val="-27"/>
        <c:axId val="2002980895"/>
        <c:axId val="2002970815"/>
      </c:barChart>
      <c:catAx>
        <c:axId val="20029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70815"/>
        <c:crosses val="autoZero"/>
        <c:auto val="1"/>
        <c:lblAlgn val="ctr"/>
        <c:lblOffset val="100"/>
        <c:noMultiLvlLbl val="0"/>
      </c:catAx>
      <c:valAx>
        <c:axId val="2002970815"/>
        <c:scaling>
          <c:orientation val="minMax"/>
        </c:scaling>
        <c:delete val="1"/>
        <c:axPos val="l"/>
        <c:numFmt formatCode="General" sourceLinked="1"/>
        <c:majorTickMark val="none"/>
        <c:minorTickMark val="none"/>
        <c:tickLblPos val="nextTo"/>
        <c:crossAx val="2002980895"/>
        <c:crosses val="autoZero"/>
        <c:crossBetween val="between"/>
      </c:valAx>
      <c:spPr>
        <a:solidFill>
          <a:schemeClr val="tx1"/>
        </a:solidFill>
      </c:spPr>
    </c:plotArea>
    <c:plotVisOnly val="1"/>
    <c:dispBlanksAs val="gap"/>
    <c:showDLblsOverMax val="0"/>
    <c:extLst/>
  </c:chart>
  <c:spPr>
    <a:solidFill>
      <a:schemeClr val="tx1"/>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CHARTS!PivotTable4</c:name>
    <c:fmtId val="7"/>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b="0" i="0" baseline="0">
                <a:solidFill>
                  <a:schemeClr val="bg1"/>
                </a:solidFill>
                <a:effectLst/>
              </a:rPr>
              <a:t> </a:t>
            </a:r>
            <a:r>
              <a:rPr lang="en-US" sz="2400" b="1" i="0" baseline="0">
                <a:solidFill>
                  <a:schemeClr val="bg1"/>
                </a:solidFill>
                <a:effectLst/>
                <a:latin typeface="Arial Black" panose="020B0A04020102020204" pitchFamily="34" charset="0"/>
              </a:rPr>
              <a:t>PASSENGER THAT SURVIVED BY AGE GROUP</a:t>
            </a:r>
            <a:endParaRPr lang="en-US" sz="2400" b="1">
              <a:solidFill>
                <a:schemeClr val="bg1"/>
              </a:solidFill>
              <a:effectLst/>
              <a:latin typeface="Arial Black" panose="020B0A04020102020204" pitchFamily="34" charset="0"/>
            </a:endParaRPr>
          </a:p>
        </c:rich>
      </c:tx>
      <c:layout>
        <c:manualLayout>
          <c:xMode val="edge"/>
          <c:yMode val="edge"/>
          <c:x val="0.20749174498348996"/>
          <c:y val="0.10347795594376615"/>
        </c:manualLayout>
      </c:layout>
      <c:overlay val="0"/>
      <c:spPr>
        <a:solidFill>
          <a:schemeClr val="tx1"/>
        </a:solid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CHARTS'!$C$33</c:f>
              <c:strCache>
                <c:ptCount val="1"/>
                <c:pt idx="0">
                  <c:v>Total</c:v>
                </c:pt>
              </c:strCache>
            </c:strRef>
          </c:tx>
          <c:spPr>
            <a:solidFill>
              <a:srgbClr val="C000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CHARTS'!$B$34:$B$38</c:f>
              <c:strCache>
                <c:ptCount val="4"/>
                <c:pt idx="0">
                  <c:v>ELDER</c:v>
                </c:pt>
                <c:pt idx="1">
                  <c:v>TEEN</c:v>
                </c:pt>
                <c:pt idx="2">
                  <c:v>YOUTH</c:v>
                </c:pt>
                <c:pt idx="3">
                  <c:v>ADULT</c:v>
                </c:pt>
              </c:strCache>
            </c:strRef>
          </c:cat>
          <c:val>
            <c:numRef>
              <c:f>'ALL CHARTS'!$C$34:$C$38</c:f>
              <c:numCache>
                <c:formatCode>General</c:formatCode>
                <c:ptCount val="4"/>
                <c:pt idx="0">
                  <c:v>14</c:v>
                </c:pt>
                <c:pt idx="1">
                  <c:v>41</c:v>
                </c:pt>
                <c:pt idx="2">
                  <c:v>144</c:v>
                </c:pt>
                <c:pt idx="3">
                  <c:v>219</c:v>
                </c:pt>
              </c:numCache>
            </c:numRef>
          </c:val>
          <c:extLst>
            <c:ext xmlns:c16="http://schemas.microsoft.com/office/drawing/2014/chart" uri="{C3380CC4-5D6E-409C-BE32-E72D297353CC}">
              <c16:uniqueId val="{00000000-3146-4CCF-A465-41DA37FE96F4}"/>
            </c:ext>
          </c:extLst>
        </c:ser>
        <c:dLbls>
          <c:dLblPos val="outEnd"/>
          <c:showLegendKey val="0"/>
          <c:showVal val="1"/>
          <c:showCatName val="0"/>
          <c:showSerName val="0"/>
          <c:showPercent val="0"/>
          <c:showBubbleSize val="0"/>
        </c:dLbls>
        <c:gapWidth val="182"/>
        <c:axId val="2000653264"/>
        <c:axId val="2000653744"/>
      </c:barChart>
      <c:catAx>
        <c:axId val="2000653264"/>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2000653744"/>
        <c:crosses val="autoZero"/>
        <c:auto val="1"/>
        <c:lblAlgn val="ctr"/>
        <c:lblOffset val="100"/>
        <c:noMultiLvlLbl val="0"/>
      </c:catAx>
      <c:valAx>
        <c:axId val="2000653744"/>
        <c:scaling>
          <c:orientation val="minMax"/>
        </c:scaling>
        <c:delete val="1"/>
        <c:axPos val="b"/>
        <c:numFmt formatCode="General" sourceLinked="1"/>
        <c:majorTickMark val="out"/>
        <c:minorTickMark val="none"/>
        <c:tickLblPos val="nextTo"/>
        <c:crossAx val="20006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bg1"/>
                </a:solidFill>
                <a:latin typeface="+mn-lt"/>
                <a:ea typeface="+mn-ea"/>
                <a:cs typeface="+mn-cs"/>
              </a:defRPr>
            </a:pPr>
            <a:r>
              <a:rPr lang="en-US" sz="1600" b="0">
                <a:solidFill>
                  <a:schemeClr val="bg1"/>
                </a:solidFill>
                <a:effectLst/>
                <a:latin typeface="Arial Black" panose="020B0A04020102020204" pitchFamily="34" charset="0"/>
              </a:rPr>
              <a:t> PASSENGERS THAT SURVIVED</a:t>
            </a:r>
            <a:r>
              <a:rPr lang="en-US" sz="1600" b="0" baseline="0">
                <a:solidFill>
                  <a:schemeClr val="bg1"/>
                </a:solidFill>
                <a:effectLst/>
                <a:latin typeface="Arial Black" panose="020B0A04020102020204" pitchFamily="34" charset="0"/>
              </a:rPr>
              <a:t> BASED ON WHERE THEY EMBAKED</a:t>
            </a:r>
            <a:endParaRPr lang="en-US" sz="1600" b="0">
              <a:solidFill>
                <a:schemeClr val="bg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bg1"/>
                </a:solidFill>
              </a:defRPr>
            </a:pPr>
            <a:r>
              <a:rPr lang="en-US" sz="1600" b="0">
                <a:solidFill>
                  <a:schemeClr val="bg1"/>
                </a:solidFill>
                <a:latin typeface="Arial Black" panose="020B0A04020102020204" pitchFamily="34" charset="0"/>
              </a:rPr>
              <a:t>l</a:t>
            </a:r>
          </a:p>
        </c:rich>
      </c:tx>
      <c:layout>
        <c:manualLayout>
          <c:xMode val="edge"/>
          <c:yMode val="edge"/>
          <c:x val="0.19206220861984094"/>
          <c:y val="6.3796994646637961E-2"/>
        </c:manualLayout>
      </c:layout>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FFFF00"/>
          </a:solidFill>
          <a:ln>
            <a:noFill/>
          </a:ln>
          <a:effectLst/>
        </c:spPr>
      </c:pivotFmt>
      <c:pivotFmt>
        <c:idx val="5"/>
        <c:spPr>
          <a:solidFill>
            <a:schemeClr val="tx1"/>
          </a:solidFill>
          <a:ln>
            <a:noFill/>
          </a:ln>
          <a:effectLst/>
        </c:spPr>
      </c:pivotFmt>
    </c:pivotFmts>
    <c:plotArea>
      <c:layout/>
      <c:barChart>
        <c:barDir val="col"/>
        <c:grouping val="clustered"/>
        <c:varyColors val="0"/>
        <c:ser>
          <c:idx val="0"/>
          <c:order val="0"/>
          <c:tx>
            <c:strRef>
              <c:f>'ALL CHARTS'!$C$127</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3-6509-4114-B245-90EBCBDE4A63}"/>
              </c:ext>
            </c:extLst>
          </c:dPt>
          <c:dPt>
            <c:idx val="1"/>
            <c:invertIfNegative val="0"/>
            <c:bubble3D val="0"/>
            <c:spPr>
              <a:solidFill>
                <a:srgbClr val="FFFF00"/>
              </a:solidFill>
              <a:ln>
                <a:noFill/>
              </a:ln>
              <a:effectLst/>
            </c:spPr>
            <c:extLst>
              <c:ext xmlns:c16="http://schemas.microsoft.com/office/drawing/2014/chart" uri="{C3380CC4-5D6E-409C-BE32-E72D297353CC}">
                <c16:uniqueId val="{00000002-6509-4114-B245-90EBCBDE4A63}"/>
              </c:ext>
            </c:extLst>
          </c:dPt>
          <c:dPt>
            <c:idx val="2"/>
            <c:invertIfNegative val="0"/>
            <c:bubble3D val="0"/>
            <c:spPr>
              <a:solidFill>
                <a:srgbClr val="C00000"/>
              </a:solidFill>
              <a:ln>
                <a:noFill/>
              </a:ln>
              <a:effectLst/>
            </c:spPr>
            <c:extLst>
              <c:ext xmlns:c16="http://schemas.microsoft.com/office/drawing/2014/chart" uri="{C3380CC4-5D6E-409C-BE32-E72D297353CC}">
                <c16:uniqueId val="{00000001-6509-4114-B245-90EBCBDE4A63}"/>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CHARTS'!$B$128:$B$131</c:f>
              <c:strCache>
                <c:ptCount val="3"/>
                <c:pt idx="0">
                  <c:v>S</c:v>
                </c:pt>
                <c:pt idx="1">
                  <c:v>C</c:v>
                </c:pt>
                <c:pt idx="2">
                  <c:v>Q</c:v>
                </c:pt>
              </c:strCache>
            </c:strRef>
          </c:cat>
          <c:val>
            <c:numRef>
              <c:f>'ALL CHARTS'!$C$128:$C$131</c:f>
              <c:numCache>
                <c:formatCode>General</c:formatCode>
                <c:ptCount val="3"/>
                <c:pt idx="0">
                  <c:v>108</c:v>
                </c:pt>
                <c:pt idx="1">
                  <c:v>26</c:v>
                </c:pt>
                <c:pt idx="2">
                  <c:v>10</c:v>
                </c:pt>
              </c:numCache>
            </c:numRef>
          </c:val>
          <c:extLst>
            <c:ext xmlns:c16="http://schemas.microsoft.com/office/drawing/2014/chart" uri="{C3380CC4-5D6E-409C-BE32-E72D297353CC}">
              <c16:uniqueId val="{00000000-6509-4114-B245-90EBCBDE4A63}"/>
            </c:ext>
          </c:extLst>
        </c:ser>
        <c:dLbls>
          <c:dLblPos val="outEnd"/>
          <c:showLegendKey val="0"/>
          <c:showVal val="1"/>
          <c:showCatName val="0"/>
          <c:showSerName val="0"/>
          <c:showPercent val="0"/>
          <c:showBubbleSize val="0"/>
        </c:dLbls>
        <c:gapWidth val="219"/>
        <c:overlap val="-27"/>
        <c:axId val="1639528944"/>
        <c:axId val="1639515024"/>
      </c:barChart>
      <c:catAx>
        <c:axId val="1639528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Black" panose="020B0A04020102020204" pitchFamily="34" charset="0"/>
                <a:ea typeface="+mn-ea"/>
                <a:cs typeface="+mn-cs"/>
              </a:defRPr>
            </a:pPr>
            <a:endParaRPr lang="en-US"/>
          </a:p>
        </c:txPr>
        <c:crossAx val="1639515024"/>
        <c:crosses val="autoZero"/>
        <c:auto val="1"/>
        <c:lblAlgn val="ctr"/>
        <c:lblOffset val="100"/>
        <c:noMultiLvlLbl val="0"/>
      </c:catAx>
      <c:valAx>
        <c:axId val="1639515024"/>
        <c:scaling>
          <c:orientation val="minMax"/>
        </c:scaling>
        <c:delete val="1"/>
        <c:axPos val="l"/>
        <c:numFmt formatCode="General" sourceLinked="1"/>
        <c:majorTickMark val="out"/>
        <c:minorTickMark val="none"/>
        <c:tickLblPos val="nextTo"/>
        <c:crossAx val="163952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CHARTS!PivotTable10</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 b="1">
                <a:solidFill>
                  <a:schemeClr val="bg1"/>
                </a:solidFill>
                <a:latin typeface="Arial Black" panose="020B0A04020102020204" pitchFamily="34" charset="0"/>
              </a:rPr>
              <a:t>TOTAL</a:t>
            </a:r>
            <a:r>
              <a:rPr lang="en-US" sz="1000" b="1" baseline="0">
                <a:solidFill>
                  <a:schemeClr val="bg1"/>
                </a:solidFill>
                <a:latin typeface="Arial Black" panose="020B0A04020102020204" pitchFamily="34" charset="0"/>
              </a:rPr>
              <a:t> </a:t>
            </a:r>
            <a:r>
              <a:rPr lang="en-US" sz="1400" b="1" baseline="0">
                <a:solidFill>
                  <a:schemeClr val="bg1"/>
                </a:solidFill>
                <a:latin typeface="Arial Black" panose="020B0A04020102020204" pitchFamily="34" charset="0"/>
              </a:rPr>
              <a:t>MALE AND FEMALE PASSENGERS THAT SURVIVED</a:t>
            </a:r>
            <a:endParaRPr lang="en-US" sz="1400" b="1">
              <a:solidFill>
                <a:schemeClr val="bg1"/>
              </a:solidFill>
              <a:latin typeface="Arial Black" panose="020B0A04020102020204" pitchFamily="34" charset="0"/>
            </a:endParaRPr>
          </a:p>
        </c:rich>
      </c:tx>
      <c:layout>
        <c:manualLayout>
          <c:xMode val="edge"/>
          <c:yMode val="edge"/>
          <c:x val="0.10218980291698757"/>
          <c:y val="1.1487925711413735E-2"/>
        </c:manualLayout>
      </c:layout>
      <c:overlay val="0"/>
      <c:spPr>
        <a:solidFill>
          <a:srgbClr val="1C1C1C"/>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CHARTS'!$C$96</c:f>
              <c:strCache>
                <c:ptCount val="1"/>
                <c:pt idx="0">
                  <c:v>Total</c:v>
                </c:pt>
              </c:strCache>
            </c:strRef>
          </c:tx>
          <c:spPr>
            <a:solidFill>
              <a:srgbClr val="FFC0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CHARTS'!$B$97:$B$99</c:f>
              <c:strCache>
                <c:ptCount val="2"/>
                <c:pt idx="0">
                  <c:v>female</c:v>
                </c:pt>
                <c:pt idx="1">
                  <c:v>male</c:v>
                </c:pt>
              </c:strCache>
            </c:strRef>
          </c:cat>
          <c:val>
            <c:numRef>
              <c:f>'ALL CHARTS'!$C$97:$C$99</c:f>
              <c:numCache>
                <c:formatCode>General</c:formatCode>
                <c:ptCount val="2"/>
                <c:pt idx="0">
                  <c:v>54</c:v>
                </c:pt>
                <c:pt idx="1">
                  <c:v>0</c:v>
                </c:pt>
              </c:numCache>
            </c:numRef>
          </c:val>
          <c:extLst>
            <c:ext xmlns:c16="http://schemas.microsoft.com/office/drawing/2014/chart" uri="{C3380CC4-5D6E-409C-BE32-E72D297353CC}">
              <c16:uniqueId val="{00000002-E60B-46A6-BA5D-5BB0F6577061}"/>
            </c:ext>
          </c:extLst>
        </c:ser>
        <c:dLbls>
          <c:dLblPos val="outEnd"/>
          <c:showLegendKey val="0"/>
          <c:showVal val="1"/>
          <c:showCatName val="0"/>
          <c:showSerName val="0"/>
          <c:showPercent val="0"/>
          <c:showBubbleSize val="0"/>
        </c:dLbls>
        <c:gapWidth val="219"/>
        <c:overlap val="-27"/>
        <c:axId val="1639521264"/>
        <c:axId val="1639510704"/>
      </c:barChart>
      <c:catAx>
        <c:axId val="16395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10704"/>
        <c:crosses val="autoZero"/>
        <c:auto val="1"/>
        <c:lblAlgn val="ctr"/>
        <c:lblOffset val="100"/>
        <c:noMultiLvlLbl val="0"/>
      </c:catAx>
      <c:valAx>
        <c:axId val="1639510704"/>
        <c:scaling>
          <c:orientation val="minMax"/>
        </c:scaling>
        <c:delete val="1"/>
        <c:axPos val="l"/>
        <c:numFmt formatCode="General" sourceLinked="1"/>
        <c:majorTickMark val="none"/>
        <c:minorTickMark val="none"/>
        <c:tickLblPos val="nextTo"/>
        <c:crossAx val="1639521264"/>
        <c:crosses val="autoZero"/>
        <c:crossBetween val="between"/>
      </c:valAx>
      <c:dTable>
        <c:showHorzBorder val="1"/>
        <c:showVertBorder val="1"/>
        <c:showOutline val="1"/>
        <c:showKeys val="1"/>
        <c:spPr>
          <a:ln w="25400">
            <a:noFill/>
          </a:ln>
        </c:spPr>
        <c:txPr>
          <a:bodyPr/>
          <a:lstStyle/>
          <a:p>
            <a:pPr rtl="0">
              <a:defRPr sz="1000">
                <a:solidFill>
                  <a:schemeClr val="tx1"/>
                </a:solidFill>
                <a:latin typeface="Arial Black" panose="020B0A04020102020204" pitchFamily="34" charset="0"/>
              </a:defRPr>
            </a:pPr>
            <a:endParaRPr lang="en-US"/>
          </a:p>
        </c:txPr>
      </c:dTable>
      <c:spPr>
        <a:solidFill>
          <a:schemeClr val="tx1"/>
        </a:solidFill>
        <a:ln>
          <a:noFill/>
        </a:ln>
      </c:spPr>
    </c:plotArea>
    <c:plotVisOnly val="1"/>
    <c:dispBlanksAs val="gap"/>
    <c:showDLblsOverMax val="0"/>
    <c:extLst/>
  </c:chart>
  <c:spPr>
    <a:solidFill>
      <a:schemeClr val="tx1"/>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baseline="0">
                <a:solidFill>
                  <a:schemeClr val="bg1"/>
                </a:solidFill>
                <a:latin typeface="Arial Black" panose="020B0A04020102020204" pitchFamily="34" charset="0"/>
              </a:rPr>
              <a:t> MALE AND FEMALE PASSENGERS</a:t>
            </a:r>
            <a:endParaRPr lang="en-US" sz="1600"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outerShdw blurRad="63500" sx="102000" sy="102000" algn="ctr" rotWithShape="0">
              <a:prstClr val="black">
                <a:alpha val="40000"/>
              </a:prstClr>
            </a:outerShdw>
          </a:effectLst>
          <a:sp3d contourW="25400">
            <a:contourClr>
              <a:schemeClr val="lt1"/>
            </a:contourClr>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99000"/>
            </a:srgbClr>
          </a:solidFill>
          <a:ln w="25400">
            <a:solidFill>
              <a:schemeClr val="lt1"/>
            </a:solidFill>
          </a:ln>
          <a:effectLst>
            <a:outerShdw blurRad="63500" sx="102000" sy="102000" algn="ctr" rotWithShape="0">
              <a:prstClr val="black">
                <a:alpha val="40000"/>
              </a:prstClr>
            </a:outerShdw>
          </a:effectLst>
          <a:sp3d contourW="25400">
            <a:contourClr>
              <a:schemeClr val="lt1"/>
            </a:contourClr>
          </a:sp3d>
        </c:spPr>
        <c:dLbl>
          <c:idx val="0"/>
          <c:layout>
            <c:manualLayout>
              <c:x val="-0.12356505428050663"/>
              <c:y val="-3.215750141568334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25400">
            <a:solidFill>
              <a:schemeClr val="lt1"/>
            </a:solidFill>
          </a:ln>
          <a:effectLst>
            <a:outerShdw blurRad="63500" sx="102000" sy="102000" algn="ctr" rotWithShape="0">
              <a:prstClr val="black">
                <a:alpha val="40000"/>
              </a:prstClr>
            </a:outerShdw>
          </a:effectLst>
          <a:sp3d contourW="25400">
            <a:contourClr>
              <a:schemeClr val="lt1"/>
            </a:contourClr>
          </a:sp3d>
        </c:spPr>
        <c:dLbl>
          <c:idx val="0"/>
          <c:layout>
            <c:manualLayout>
              <c:x val="1.6878021587366271E-3"/>
              <c:y val="-2.1475079708057551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564309776240091E-2"/>
          <c:y val="0.43498011912089435"/>
          <c:w val="0.72218870140289693"/>
          <c:h val="0.53786754969306549"/>
        </c:manualLayout>
      </c:layout>
      <c:pie3DChart>
        <c:varyColors val="1"/>
        <c:ser>
          <c:idx val="0"/>
          <c:order val="0"/>
          <c:tx>
            <c:strRef>
              <c:f>'ALL CHARTS'!$C$21</c:f>
              <c:strCache>
                <c:ptCount val="1"/>
                <c:pt idx="0">
                  <c:v>Total</c:v>
                </c:pt>
              </c:strCache>
            </c:strRef>
          </c:tx>
          <c:spPr>
            <a:effectLst>
              <a:outerShdw blurRad="63500" sx="102000" sy="102000" algn="ctr" rotWithShape="0">
                <a:prstClr val="black">
                  <a:alpha val="40000"/>
                </a:prstClr>
              </a:outerShdw>
            </a:effectLst>
          </c:spPr>
          <c:dPt>
            <c:idx val="0"/>
            <c:bubble3D val="0"/>
            <c:spPr>
              <a:solidFill>
                <a:srgbClr val="FFC000">
                  <a:alpha val="99000"/>
                </a:srgbClr>
              </a:solidFill>
              <a:ln w="25400">
                <a:solidFill>
                  <a:schemeClr val="lt1"/>
                </a:solidFill>
              </a:ln>
              <a:effectLst>
                <a:outerShdw blurRad="63500" sx="102000" sy="102000" algn="ctr" rotWithShape="0">
                  <a:prstClr val="black">
                    <a:alpha val="40000"/>
                  </a:prstClr>
                </a:outerShdw>
              </a:effectLst>
              <a:sp3d contourW="25400">
                <a:contourClr>
                  <a:schemeClr val="lt1"/>
                </a:contourClr>
              </a:sp3d>
            </c:spPr>
            <c:extLst>
              <c:ext xmlns:c16="http://schemas.microsoft.com/office/drawing/2014/chart" uri="{C3380CC4-5D6E-409C-BE32-E72D297353CC}">
                <c16:uniqueId val="{00000001-1032-4D73-876C-C7577B1E8791}"/>
              </c:ext>
            </c:extLst>
          </c:dPt>
          <c:dPt>
            <c:idx val="1"/>
            <c:bubble3D val="0"/>
            <c:spPr>
              <a:solidFill>
                <a:srgbClr val="C00000"/>
              </a:solidFill>
              <a:ln w="25400">
                <a:solidFill>
                  <a:schemeClr val="lt1"/>
                </a:solidFill>
              </a:ln>
              <a:effectLst>
                <a:outerShdw blurRad="63500" sx="102000" sy="102000" algn="ctr" rotWithShape="0">
                  <a:prstClr val="black">
                    <a:alpha val="40000"/>
                  </a:prstClr>
                </a:outerShdw>
              </a:effectLst>
              <a:sp3d contourW="25400">
                <a:contourClr>
                  <a:schemeClr val="lt1"/>
                </a:contourClr>
              </a:sp3d>
            </c:spPr>
            <c:extLst>
              <c:ext xmlns:c16="http://schemas.microsoft.com/office/drawing/2014/chart" uri="{C3380CC4-5D6E-409C-BE32-E72D297353CC}">
                <c16:uniqueId val="{00000003-1032-4D73-876C-C7577B1E8791}"/>
              </c:ext>
            </c:extLst>
          </c:dPt>
          <c:dLbls>
            <c:dLbl>
              <c:idx val="0"/>
              <c:layout>
                <c:manualLayout>
                  <c:x val="-0.12356505428050663"/>
                  <c:y val="-3.21575014156833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32-4D73-876C-C7577B1E8791}"/>
                </c:ext>
              </c:extLst>
            </c:dLbl>
            <c:dLbl>
              <c:idx val="1"/>
              <c:layout>
                <c:manualLayout>
                  <c:x val="1.6878021587366271E-3"/>
                  <c:y val="-2.14750797080575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32-4D73-876C-C7577B1E8791}"/>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CHARTS'!$B$22:$B$24</c:f>
              <c:strCache>
                <c:ptCount val="2"/>
                <c:pt idx="0">
                  <c:v>male</c:v>
                </c:pt>
                <c:pt idx="1">
                  <c:v>female</c:v>
                </c:pt>
              </c:strCache>
            </c:strRef>
          </c:cat>
          <c:val>
            <c:numRef>
              <c:f>'ALL CHARTS'!$C$22:$C$24</c:f>
              <c:numCache>
                <c:formatCode>General</c:formatCode>
                <c:ptCount val="2"/>
                <c:pt idx="0">
                  <c:v>90</c:v>
                </c:pt>
                <c:pt idx="1">
                  <c:v>54</c:v>
                </c:pt>
              </c:numCache>
            </c:numRef>
          </c:val>
          <c:extLst>
            <c:ext xmlns:c16="http://schemas.microsoft.com/office/drawing/2014/chart" uri="{C3380CC4-5D6E-409C-BE32-E72D297353CC}">
              <c16:uniqueId val="{00000004-1032-4D73-876C-C7577B1E879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CHARTS!PivotTable7</c:name>
    <c:fmtId val="4"/>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0" baseline="0">
                <a:solidFill>
                  <a:schemeClr val="bg1"/>
                </a:solidFill>
                <a:latin typeface="Arial Black" panose="020B0A04020102020204" pitchFamily="34" charset="0"/>
              </a:rPr>
              <a:t> PASSENGERS THAT EMBARKED AT EACH LOCATION</a:t>
            </a:r>
            <a:endParaRPr lang="en-US" sz="1600" b="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tx1"/>
          </a:solidFill>
          <a:ln w="19050">
            <a:solidFill>
              <a:schemeClr val="lt1"/>
            </a:solidFill>
          </a:ln>
          <a:effectLst/>
        </c:spPr>
      </c:pivotFmt>
    </c:pivotFmts>
    <c:plotArea>
      <c:layout>
        <c:manualLayout>
          <c:layoutTarget val="inner"/>
          <c:xMode val="edge"/>
          <c:yMode val="edge"/>
          <c:x val="0.16079527559055118"/>
          <c:y val="0.32152063975180012"/>
          <c:w val="0.59770002540005096"/>
          <c:h val="0.67847936024819988"/>
        </c:manualLayout>
      </c:layout>
      <c:pieChart>
        <c:varyColors val="1"/>
        <c:ser>
          <c:idx val="0"/>
          <c:order val="0"/>
          <c:tx>
            <c:strRef>
              <c:f>'ALL CHARTS'!$C$61</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FF79-4488-812C-937CD0F2FE6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FF79-4488-812C-937CD0F2FE6F}"/>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FF79-4488-812C-937CD0F2FE6F}"/>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CHARTS'!$B$62:$B$65</c:f>
              <c:strCache>
                <c:ptCount val="3"/>
                <c:pt idx="0">
                  <c:v>C</c:v>
                </c:pt>
                <c:pt idx="1">
                  <c:v>Q</c:v>
                </c:pt>
                <c:pt idx="2">
                  <c:v>S</c:v>
                </c:pt>
              </c:strCache>
            </c:strRef>
          </c:cat>
          <c:val>
            <c:numRef>
              <c:f>'ALL CHARTS'!$C$62:$C$65</c:f>
              <c:numCache>
                <c:formatCode>General</c:formatCode>
                <c:ptCount val="3"/>
                <c:pt idx="0">
                  <c:v>26</c:v>
                </c:pt>
                <c:pt idx="1">
                  <c:v>10</c:v>
                </c:pt>
                <c:pt idx="2">
                  <c:v>108</c:v>
                </c:pt>
              </c:numCache>
            </c:numRef>
          </c:val>
          <c:extLst>
            <c:ext xmlns:c16="http://schemas.microsoft.com/office/drawing/2014/chart" uri="{C3380CC4-5D6E-409C-BE32-E72D297353CC}">
              <c16:uniqueId val="{00000006-FF79-4488-812C-937CD0F2FE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CHARTS!PivotTable9</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800" b="0" i="0" baseline="0">
                <a:solidFill>
                  <a:schemeClr val="bg1"/>
                </a:solidFill>
                <a:effectLst/>
              </a:rPr>
              <a:t> </a:t>
            </a:r>
            <a:r>
              <a:rPr lang="en-US" sz="1600" b="1" i="0" baseline="0">
                <a:solidFill>
                  <a:schemeClr val="bg1"/>
                </a:solidFill>
                <a:effectLst/>
                <a:latin typeface="Arial Black" panose="020B0A04020102020204" pitchFamily="34" charset="0"/>
              </a:rPr>
              <a:t> PASSENGER THAT SURVIVED/DIED</a:t>
            </a:r>
            <a:endParaRPr lang="en-US" sz="1600" b="1">
              <a:solidFill>
                <a:schemeClr val="bg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a:solidFill>
                <a:schemeClr val="bg1"/>
              </a:solidFill>
            </a:endParaRPr>
          </a:p>
        </c:rich>
      </c:tx>
      <c:layout>
        <c:manualLayout>
          <c:xMode val="edge"/>
          <c:yMode val="edge"/>
          <c:x val="0.19129988860461594"/>
          <c:y val="2.8074575401907102E-2"/>
        </c:manualLayout>
      </c:layout>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ln>
                    <a:solidFill>
                      <a:schemeClr val="bg1"/>
                    </a:solidFill>
                  </a:ln>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dLbl>
          <c:idx val="0"/>
          <c:layout>
            <c:manualLayout>
              <c:x val="0.10354854452557836"/>
              <c:y val="4.8199679091353656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ln>
                    <a:solidFill>
                      <a:schemeClr val="bg1"/>
                    </a:solidFill>
                  </a:ln>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303030794704404E-2"/>
          <c:y val="0.40308163228173571"/>
          <c:w val="0.98889616688180759"/>
          <c:h val="0.54615877076003028"/>
        </c:manualLayout>
      </c:layout>
      <c:pie3DChart>
        <c:varyColors val="1"/>
        <c:ser>
          <c:idx val="0"/>
          <c:order val="0"/>
          <c:tx>
            <c:strRef>
              <c:f>'ALL CHARTS'!$C$85</c:f>
              <c:strCache>
                <c:ptCount val="1"/>
                <c:pt idx="0">
                  <c:v>Total</c:v>
                </c:pt>
              </c:strCache>
            </c:strRef>
          </c:tx>
          <c:dPt>
            <c:idx val="0"/>
            <c:bubble3D val="0"/>
            <c:explosion val="1"/>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A30-4DB6-B7B3-378B465054E9}"/>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4A30-4DB6-B7B3-378B465054E9}"/>
              </c:ext>
            </c:extLst>
          </c:dPt>
          <c:dLbls>
            <c:dLbl>
              <c:idx val="1"/>
              <c:layout>
                <c:manualLayout>
                  <c:x val="0.10354854452557836"/>
                  <c:y val="4.819967909135365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30-4DB6-B7B3-378B465054E9}"/>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ln>
                      <a:solidFill>
                        <a:schemeClr val="bg1"/>
                      </a:solidFill>
                    </a:ln>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CHARTS'!$B$86:$B$88</c:f>
              <c:strCache>
                <c:ptCount val="2"/>
                <c:pt idx="0">
                  <c:v>0</c:v>
                </c:pt>
                <c:pt idx="1">
                  <c:v>1</c:v>
                </c:pt>
              </c:strCache>
            </c:strRef>
          </c:cat>
          <c:val>
            <c:numRef>
              <c:f>'ALL CHARTS'!$C$86:$C$88</c:f>
              <c:numCache>
                <c:formatCode>General</c:formatCode>
                <c:ptCount val="2"/>
                <c:pt idx="0">
                  <c:v>90</c:v>
                </c:pt>
                <c:pt idx="1">
                  <c:v>54</c:v>
                </c:pt>
              </c:numCache>
            </c:numRef>
          </c:val>
          <c:extLst>
            <c:ext xmlns:c16="http://schemas.microsoft.com/office/drawing/2014/chart" uri="{C3380CC4-5D6E-409C-BE32-E72D297353CC}">
              <c16:uniqueId val="{00000004-4A30-4DB6-B7B3-378B465054E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227271879134889"/>
          <c:y val="0.60470538354744829"/>
          <c:w val="0.17772728120865097"/>
          <c:h val="0.3225985944188892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200" b="1" i="0" baseline="0">
                <a:solidFill>
                  <a:schemeClr val="bg1"/>
                </a:solidFill>
                <a:effectLst/>
                <a:latin typeface="Arial Black" panose="020B0A04020102020204" pitchFamily="34" charset="0"/>
              </a:rPr>
              <a:t> SURVIVED PASSENGERS PER CLASS</a:t>
            </a:r>
            <a:endParaRPr lang="en-US" sz="1200" b="1">
              <a:solidFill>
                <a:schemeClr val="bg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C00000"/>
          </a:solidFill>
          <a:ln>
            <a:noFill/>
          </a:ln>
          <a:effectLst/>
        </c:spPr>
      </c:pivotFmt>
      <c:pivotFmt>
        <c:idx val="5"/>
        <c:spPr>
          <a:solidFill>
            <a:schemeClr val="bg1"/>
          </a:solidFill>
          <a:ln>
            <a:noFill/>
          </a:ln>
          <a:effectLst/>
        </c:spPr>
      </c:pivotFmt>
    </c:pivotFmts>
    <c:plotArea>
      <c:layout/>
      <c:barChart>
        <c:barDir val="col"/>
        <c:grouping val="clustered"/>
        <c:varyColors val="0"/>
        <c:ser>
          <c:idx val="0"/>
          <c:order val="0"/>
          <c:tx>
            <c:strRef>
              <c:f>'ALL CHARTS'!$C$107</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280D-4FB4-9176-42DF092FB199}"/>
              </c:ext>
            </c:extLst>
          </c:dPt>
          <c:dPt>
            <c:idx val="1"/>
            <c:invertIfNegative val="0"/>
            <c:bubble3D val="0"/>
            <c:spPr>
              <a:solidFill>
                <a:srgbClr val="C00000"/>
              </a:solidFill>
              <a:ln>
                <a:noFill/>
              </a:ln>
              <a:effectLst/>
            </c:spPr>
            <c:extLst>
              <c:ext xmlns:c16="http://schemas.microsoft.com/office/drawing/2014/chart" uri="{C3380CC4-5D6E-409C-BE32-E72D297353CC}">
                <c16:uniqueId val="{00000003-280D-4FB4-9176-42DF092FB199}"/>
              </c:ext>
            </c:extLst>
          </c:dPt>
          <c:dPt>
            <c:idx val="2"/>
            <c:invertIfNegative val="0"/>
            <c:bubble3D val="0"/>
            <c:spPr>
              <a:solidFill>
                <a:schemeClr val="bg1"/>
              </a:solidFill>
              <a:ln>
                <a:noFill/>
              </a:ln>
              <a:effectLst/>
            </c:spPr>
            <c:extLst>
              <c:ext xmlns:c16="http://schemas.microsoft.com/office/drawing/2014/chart" uri="{C3380CC4-5D6E-409C-BE32-E72D297353CC}">
                <c16:uniqueId val="{00000002-280D-4FB4-9176-42DF092FB199}"/>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CHARTS'!$B$108:$B$111</c:f>
              <c:strCache>
                <c:ptCount val="3"/>
                <c:pt idx="0">
                  <c:v>3</c:v>
                </c:pt>
                <c:pt idx="1">
                  <c:v>2</c:v>
                </c:pt>
                <c:pt idx="2">
                  <c:v>1</c:v>
                </c:pt>
              </c:strCache>
            </c:strRef>
          </c:cat>
          <c:val>
            <c:numRef>
              <c:f>'ALL CHARTS'!$C$108:$C$111</c:f>
              <c:numCache>
                <c:formatCode>General</c:formatCode>
                <c:ptCount val="3"/>
                <c:pt idx="0">
                  <c:v>26</c:v>
                </c:pt>
                <c:pt idx="1">
                  <c:v>15</c:v>
                </c:pt>
                <c:pt idx="2">
                  <c:v>13</c:v>
                </c:pt>
              </c:numCache>
            </c:numRef>
          </c:val>
          <c:extLst>
            <c:ext xmlns:c16="http://schemas.microsoft.com/office/drawing/2014/chart" uri="{C3380CC4-5D6E-409C-BE32-E72D297353CC}">
              <c16:uniqueId val="{00000000-280D-4FB4-9176-42DF092FB199}"/>
            </c:ext>
          </c:extLst>
        </c:ser>
        <c:dLbls>
          <c:dLblPos val="outEnd"/>
          <c:showLegendKey val="0"/>
          <c:showVal val="1"/>
          <c:showCatName val="0"/>
          <c:showSerName val="0"/>
          <c:showPercent val="0"/>
          <c:showBubbleSize val="0"/>
        </c:dLbls>
        <c:gapWidth val="219"/>
        <c:overlap val="-27"/>
        <c:axId val="1639535184"/>
        <c:axId val="1639537584"/>
      </c:barChart>
      <c:catAx>
        <c:axId val="1639535184"/>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Arial Black" panose="020B0A04020102020204" pitchFamily="34" charset="0"/>
                <a:ea typeface="+mn-ea"/>
                <a:cs typeface="+mn-cs"/>
              </a:defRPr>
            </a:pPr>
            <a:endParaRPr lang="en-US"/>
          </a:p>
        </c:txPr>
        <c:crossAx val="1639537584"/>
        <c:crosses val="autoZero"/>
        <c:auto val="1"/>
        <c:lblAlgn val="ctr"/>
        <c:lblOffset val="100"/>
        <c:noMultiLvlLbl val="0"/>
      </c:catAx>
      <c:valAx>
        <c:axId val="1639537584"/>
        <c:scaling>
          <c:orientation val="minMax"/>
        </c:scaling>
        <c:delete val="1"/>
        <c:axPos val="l"/>
        <c:numFmt formatCode="General" sourceLinked="1"/>
        <c:majorTickMark val="none"/>
        <c:minorTickMark val="none"/>
        <c:tickLblPos val="nextTo"/>
        <c:crossAx val="163953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CHARTS!PivotTable8</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baseline="0">
                <a:solidFill>
                  <a:schemeClr val="bg1"/>
                </a:solidFill>
                <a:latin typeface="Arial Black" panose="020B0A04020102020204" pitchFamily="34" charset="0"/>
              </a:rPr>
              <a:t> MALE AND FEMALE PASSENGER IN EACH CLASS</a:t>
            </a:r>
            <a:endParaRPr lang="en-US" sz="1400" b="1">
              <a:solidFill>
                <a:schemeClr val="bg1"/>
              </a:solidFill>
              <a:latin typeface="Arial Black" panose="020B0A04020102020204" pitchFamily="34" charset="0"/>
            </a:endParaRPr>
          </a:p>
        </c:rich>
      </c:tx>
      <c:layout>
        <c:manualLayout>
          <c:xMode val="edge"/>
          <c:yMode val="edge"/>
          <c:x val="1.0244245811917393E-2"/>
          <c:y val="5.69147678495915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CHARTS'!$C$74:$C$75</c:f>
              <c:strCache>
                <c:ptCount val="1"/>
                <c:pt idx="0">
                  <c:v>female</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CHARTS'!$B$76:$B$79</c:f>
              <c:strCache>
                <c:ptCount val="3"/>
                <c:pt idx="0">
                  <c:v>1</c:v>
                </c:pt>
                <c:pt idx="1">
                  <c:v>2</c:v>
                </c:pt>
                <c:pt idx="2">
                  <c:v>3</c:v>
                </c:pt>
              </c:strCache>
            </c:strRef>
          </c:cat>
          <c:val>
            <c:numRef>
              <c:f>'ALL CHARTS'!$C$76:$C$79</c:f>
              <c:numCache>
                <c:formatCode>General</c:formatCode>
                <c:ptCount val="3"/>
                <c:pt idx="0">
                  <c:v>13</c:v>
                </c:pt>
                <c:pt idx="1">
                  <c:v>15</c:v>
                </c:pt>
                <c:pt idx="2">
                  <c:v>26</c:v>
                </c:pt>
              </c:numCache>
            </c:numRef>
          </c:val>
          <c:extLst>
            <c:ext xmlns:c16="http://schemas.microsoft.com/office/drawing/2014/chart" uri="{C3380CC4-5D6E-409C-BE32-E72D297353CC}">
              <c16:uniqueId val="{00000000-911D-4714-8CFC-95D8C2981F94}"/>
            </c:ext>
          </c:extLst>
        </c:ser>
        <c:ser>
          <c:idx val="1"/>
          <c:order val="1"/>
          <c:tx>
            <c:strRef>
              <c:f>'ALL CHARTS'!$D$74:$D$75</c:f>
              <c:strCache>
                <c:ptCount val="1"/>
                <c:pt idx="0">
                  <c:v>male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CHARTS'!$B$76:$B$79</c:f>
              <c:strCache>
                <c:ptCount val="3"/>
                <c:pt idx="0">
                  <c:v>1</c:v>
                </c:pt>
                <c:pt idx="1">
                  <c:v>2</c:v>
                </c:pt>
                <c:pt idx="2">
                  <c:v>3</c:v>
                </c:pt>
              </c:strCache>
            </c:strRef>
          </c:cat>
          <c:val>
            <c:numRef>
              <c:f>'ALL CHARTS'!$D$76:$D$79</c:f>
              <c:numCache>
                <c:formatCode>General</c:formatCode>
                <c:ptCount val="3"/>
                <c:pt idx="0">
                  <c:v>7</c:v>
                </c:pt>
                <c:pt idx="1">
                  <c:v>28</c:v>
                </c:pt>
                <c:pt idx="2">
                  <c:v>55</c:v>
                </c:pt>
              </c:numCache>
            </c:numRef>
          </c:val>
          <c:extLst>
            <c:ext xmlns:c16="http://schemas.microsoft.com/office/drawing/2014/chart" uri="{C3380CC4-5D6E-409C-BE32-E72D297353CC}">
              <c16:uniqueId val="{00000001-B1C4-4A78-AF2F-3F7188B7BEA0}"/>
            </c:ext>
          </c:extLst>
        </c:ser>
        <c:dLbls>
          <c:dLblPos val="outEnd"/>
          <c:showLegendKey val="0"/>
          <c:showVal val="1"/>
          <c:showCatName val="0"/>
          <c:showSerName val="0"/>
          <c:showPercent val="0"/>
          <c:showBubbleSize val="0"/>
        </c:dLbls>
        <c:gapWidth val="219"/>
        <c:overlap val="-27"/>
        <c:axId val="440871616"/>
        <c:axId val="440867776"/>
      </c:barChart>
      <c:catAx>
        <c:axId val="440871616"/>
        <c:scaling>
          <c:orientation val="minMax"/>
        </c:scaling>
        <c:delete val="1"/>
        <c:axPos val="b"/>
        <c:numFmt formatCode="General" sourceLinked="1"/>
        <c:majorTickMark val="none"/>
        <c:minorTickMark val="none"/>
        <c:tickLblPos val="nextTo"/>
        <c:crossAx val="440867776"/>
        <c:crosses val="autoZero"/>
        <c:auto val="1"/>
        <c:lblAlgn val="ctr"/>
        <c:lblOffset val="100"/>
        <c:noMultiLvlLbl val="0"/>
      </c:catAx>
      <c:valAx>
        <c:axId val="440867776"/>
        <c:scaling>
          <c:orientation val="minMax"/>
        </c:scaling>
        <c:delete val="1"/>
        <c:axPos val="l"/>
        <c:numFmt formatCode="General" sourceLinked="1"/>
        <c:majorTickMark val="none"/>
        <c:minorTickMark val="none"/>
        <c:tickLblPos val="nextTo"/>
        <c:crossAx val="44087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CHARTS!PivotTable5</c:name>
    <c:fmtId val="6"/>
  </c:pivotSource>
  <c:chart>
    <c:title>
      <c:tx>
        <c:rich>
          <a:bodyPr rot="0" spcFirstLastPara="1" vertOverflow="ellipsis" vert="horz" wrap="square" anchor="ctr" anchorCtr="1"/>
          <a:lstStyle/>
          <a:p>
            <a:pPr algn="ctr" rtl="0">
              <a:defRPr sz="2800" b="0" i="0" u="none" strike="noStrike" kern="1200" spc="0" baseline="0">
                <a:solidFill>
                  <a:schemeClr val="bg1"/>
                </a:solidFill>
                <a:latin typeface="+mn-lt"/>
                <a:ea typeface="+mn-ea"/>
                <a:cs typeface="+mn-cs"/>
              </a:defRPr>
            </a:pPr>
            <a:r>
              <a:rPr lang="en-US" sz="2800"/>
              <a:t>PASSENGERS THAT HAD SILBLINGS ON BOARD</a:t>
            </a:r>
          </a:p>
          <a:p>
            <a:pPr algn="ctr" rtl="0">
              <a:defRPr sz="2800"/>
            </a:pPr>
            <a:r>
              <a:rPr lang="en-US" sz="2800"/>
              <a:t> </a:t>
            </a:r>
          </a:p>
        </c:rich>
      </c:tx>
      <c:layout>
        <c:manualLayout>
          <c:xMode val="edge"/>
          <c:yMode val="edge"/>
          <c:x val="0.11830730381042837"/>
          <c:y val="0.10612911226826391"/>
        </c:manualLayout>
      </c:layout>
      <c:overlay val="0"/>
      <c:spPr>
        <a:noFill/>
        <a:ln>
          <a:noFill/>
        </a:ln>
        <a:effectLst/>
      </c:spPr>
      <c:txPr>
        <a:bodyPr rot="0" spcFirstLastPara="1" vertOverflow="ellipsis" vert="horz" wrap="square" anchor="ctr" anchorCtr="1"/>
        <a:lstStyle/>
        <a:p>
          <a:pPr algn="ctr" rtl="0">
            <a:defRPr sz="2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pivotFmt>
      <c:pivotFmt>
        <c:idx val="4"/>
        <c:spPr>
          <a:solidFill>
            <a:schemeClr val="accent2">
              <a:lumMod val="50000"/>
            </a:schemeClr>
          </a:solidFill>
          <a:ln>
            <a:noFill/>
          </a:ln>
          <a:effectLst/>
        </c:spPr>
      </c:pivotFmt>
    </c:pivotFmts>
    <c:plotArea>
      <c:layout>
        <c:manualLayout>
          <c:layoutTarget val="inner"/>
          <c:xMode val="edge"/>
          <c:yMode val="edge"/>
          <c:x val="0.19736841082840806"/>
          <c:y val="0.67974164233479817"/>
          <c:w val="0.80263158917159194"/>
          <c:h val="0.32025835766520189"/>
        </c:manualLayout>
      </c:layout>
      <c:barChart>
        <c:barDir val="bar"/>
        <c:grouping val="clustered"/>
        <c:varyColors val="0"/>
        <c:ser>
          <c:idx val="0"/>
          <c:order val="0"/>
          <c:tx>
            <c:strRef>
              <c:f>'ALL CHARTS'!$C$45</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75B3-4CC6-9865-8634F66E0258}"/>
              </c:ext>
            </c:extLst>
          </c:dPt>
          <c:dPt>
            <c:idx val="1"/>
            <c:invertIfNegative val="0"/>
            <c:bubble3D val="0"/>
            <c:spPr>
              <a:solidFill>
                <a:schemeClr val="tx1"/>
              </a:solidFill>
              <a:ln>
                <a:noFill/>
              </a:ln>
              <a:effectLst/>
            </c:spPr>
            <c:extLst>
              <c:ext xmlns:c16="http://schemas.microsoft.com/office/drawing/2014/chart" uri="{C3380CC4-5D6E-409C-BE32-E72D297353CC}">
                <c16:uniqueId val="{00000001-75B3-4CC6-9865-8634F66E0258}"/>
              </c:ext>
            </c:extLst>
          </c:dPt>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CHARTS'!$B$46:$B$48</c:f>
              <c:strCache>
                <c:ptCount val="2"/>
                <c:pt idx="0">
                  <c:v>NO</c:v>
                </c:pt>
                <c:pt idx="1">
                  <c:v>YES</c:v>
                </c:pt>
              </c:strCache>
            </c:strRef>
          </c:cat>
          <c:val>
            <c:numRef>
              <c:f>'ALL CHARTS'!$C$46:$C$48</c:f>
              <c:numCache>
                <c:formatCode>General</c:formatCode>
                <c:ptCount val="2"/>
                <c:pt idx="0">
                  <c:v>105</c:v>
                </c:pt>
                <c:pt idx="1">
                  <c:v>39</c:v>
                </c:pt>
              </c:numCache>
            </c:numRef>
          </c:val>
          <c:extLst>
            <c:ext xmlns:c16="http://schemas.microsoft.com/office/drawing/2014/chart" uri="{C3380CC4-5D6E-409C-BE32-E72D297353CC}">
              <c16:uniqueId val="{00000000-75B3-4CC6-9865-8634F66E0258}"/>
            </c:ext>
          </c:extLst>
        </c:ser>
        <c:dLbls>
          <c:dLblPos val="outEnd"/>
          <c:showLegendKey val="0"/>
          <c:showVal val="1"/>
          <c:showCatName val="0"/>
          <c:showSerName val="0"/>
          <c:showPercent val="0"/>
          <c:showBubbleSize val="0"/>
        </c:dLbls>
        <c:gapWidth val="182"/>
        <c:axId val="911191712"/>
        <c:axId val="911189792"/>
      </c:barChart>
      <c:catAx>
        <c:axId val="911191712"/>
        <c:scaling>
          <c:orientation val="minMax"/>
        </c:scaling>
        <c:delete val="1"/>
        <c:axPos val="l"/>
        <c:numFmt formatCode="General" sourceLinked="1"/>
        <c:majorTickMark val="none"/>
        <c:minorTickMark val="none"/>
        <c:tickLblPos val="nextTo"/>
        <c:crossAx val="911189792"/>
        <c:crosses val="autoZero"/>
        <c:auto val="1"/>
        <c:lblAlgn val="ctr"/>
        <c:lblOffset val="100"/>
        <c:noMultiLvlLbl val="0"/>
      </c:catAx>
      <c:valAx>
        <c:axId val="911189792"/>
        <c:scaling>
          <c:orientation val="minMax"/>
        </c:scaling>
        <c:delete val="1"/>
        <c:axPos val="b"/>
        <c:numFmt formatCode="General" sourceLinked="1"/>
        <c:majorTickMark val="none"/>
        <c:minorTickMark val="none"/>
        <c:tickLblPos val="nextTo"/>
        <c:crossAx val="91119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CHARTS!PivotTable14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0" i="0" u="none" strike="noStrike" kern="1200" spc="0" baseline="0">
                <a:solidFill>
                  <a:schemeClr val="bg1"/>
                </a:solidFill>
                <a:latin typeface="+mn-lt"/>
                <a:ea typeface="+mn-ea"/>
                <a:cs typeface="+mn-cs"/>
              </a:defRPr>
            </a:pPr>
            <a:r>
              <a:rPr lang="en-US" sz="2400" b="0" i="0" baseline="0">
                <a:solidFill>
                  <a:schemeClr val="bg1"/>
                </a:solidFill>
                <a:effectLst/>
                <a:latin typeface="Arial Black" panose="020B0A04020102020204" pitchFamily="34" charset="0"/>
              </a:rPr>
              <a:t> RATIO PER CLASS &amp; Gender</a:t>
            </a:r>
            <a:endParaRPr lang="en-US" sz="2400" b="0">
              <a:solidFill>
                <a:schemeClr val="bg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sz="2400">
                <a:solidFill>
                  <a:schemeClr val="bg1"/>
                </a:solidFill>
              </a:defRPr>
            </a:pPr>
            <a:endParaRPr lang="en-US" sz="2400">
              <a:solidFill>
                <a:schemeClr val="bg1"/>
              </a:solidFill>
            </a:endParaRPr>
          </a:p>
        </c:rich>
      </c:tx>
      <c:layout>
        <c:manualLayout>
          <c:xMode val="edge"/>
          <c:yMode val="edge"/>
          <c:x val="5.9415436754660225E-2"/>
          <c:y val="4.7604925939221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pivotFmt>
      <c:pivotFmt>
        <c:idx val="4"/>
        <c:spPr>
          <a:solidFill>
            <a:srgbClr val="C00000"/>
          </a:solidFill>
          <a:ln>
            <a:noFill/>
          </a:ln>
          <a:effectLst/>
          <a:sp3d/>
        </c:spPr>
      </c:pivotFmt>
      <c:pivotFmt>
        <c:idx val="5"/>
        <c:spPr>
          <a:solidFill>
            <a:srgbClr val="C00000"/>
          </a:solidFill>
          <a:ln>
            <a:noFill/>
          </a:ln>
          <a:effectLst/>
          <a:sp3d/>
        </c:spPr>
      </c:pivotFmt>
      <c:pivotFmt>
        <c:idx val="6"/>
        <c:spPr>
          <a:solidFill>
            <a:schemeClr val="accent2">
              <a:lumMod val="75000"/>
            </a:schemeClr>
          </a:solidFill>
          <a:ln>
            <a:noFill/>
          </a:ln>
          <a:effectLst/>
          <a:sp3d/>
        </c:spPr>
      </c:pivotFmt>
      <c:pivotFmt>
        <c:idx val="7"/>
        <c:spPr>
          <a:solidFill>
            <a:schemeClr val="accent2">
              <a:lumMod val="75000"/>
            </a:schemeClr>
          </a:solidFill>
          <a:ln>
            <a:noFill/>
          </a:ln>
          <a:effectLst/>
          <a:sp3d/>
        </c:spPr>
      </c:pivotFmt>
      <c:pivotFmt>
        <c:idx val="8"/>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000170633607097E-2"/>
          <c:y val="9.8553913662880549E-2"/>
          <c:w val="0.92056513048044453"/>
          <c:h val="0.60866285221742999"/>
        </c:manualLayout>
      </c:layout>
      <c:bar3DChart>
        <c:barDir val="col"/>
        <c:grouping val="standard"/>
        <c:varyColors val="0"/>
        <c:ser>
          <c:idx val="0"/>
          <c:order val="0"/>
          <c:tx>
            <c:strRef>
              <c:f>'ALL CHARTS'!$C$138</c:f>
              <c:strCache>
                <c:ptCount val="1"/>
                <c:pt idx="0">
                  <c:v>Total</c:v>
                </c:pt>
              </c:strCache>
            </c:strRef>
          </c:tx>
          <c:spPr>
            <a:solidFill>
              <a:schemeClr val="tx1"/>
            </a:solidFill>
            <a:ln>
              <a:noFill/>
            </a:ln>
            <a:effectLst/>
            <a:sp3d/>
          </c:spPr>
          <c:invertIfNegative val="0"/>
          <c:dPt>
            <c:idx val="0"/>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8-2867-47AC-885E-A0B148B8A0C4}"/>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2-CC8A-4D78-A0CD-558A968273AB}"/>
              </c:ext>
            </c:extLst>
          </c:dPt>
          <c:dPt>
            <c:idx val="2"/>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7-2867-47AC-885E-A0B148B8A0C4}"/>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1-CC8A-4D78-A0CD-558A968273AB}"/>
              </c:ext>
            </c:extLst>
          </c:dPt>
          <c:dPt>
            <c:idx val="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6-2867-47AC-885E-A0B148B8A0C4}"/>
              </c:ext>
            </c:extLst>
          </c:dPt>
          <c:dPt>
            <c:idx val="5"/>
            <c:invertIfNegative val="0"/>
            <c:bubble3D val="0"/>
            <c:spPr>
              <a:solidFill>
                <a:srgbClr val="C00000"/>
              </a:solidFill>
              <a:ln>
                <a:noFill/>
              </a:ln>
              <a:effectLst/>
              <a:sp3d/>
            </c:spPr>
            <c:extLst>
              <c:ext xmlns:c16="http://schemas.microsoft.com/office/drawing/2014/chart" uri="{C3380CC4-5D6E-409C-BE32-E72D297353CC}">
                <c16:uniqueId val="{00000003-CC8A-4D78-A0CD-558A968273A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'ALL CHARTS'!$B$139:$B$148</c:f>
              <c:multiLvlStrCache>
                <c:ptCount val="6"/>
                <c:lvl>
                  <c:pt idx="0">
                    <c:v>female</c:v>
                  </c:pt>
                  <c:pt idx="1">
                    <c:v>male</c:v>
                  </c:pt>
                  <c:pt idx="2">
                    <c:v>female</c:v>
                  </c:pt>
                  <c:pt idx="3">
                    <c:v>male</c:v>
                  </c:pt>
                  <c:pt idx="4">
                    <c:v>female</c:v>
                  </c:pt>
                  <c:pt idx="5">
                    <c:v>male</c:v>
                  </c:pt>
                </c:lvl>
                <c:lvl>
                  <c:pt idx="0">
                    <c:v>1</c:v>
                  </c:pt>
                  <c:pt idx="2">
                    <c:v>2</c:v>
                  </c:pt>
                  <c:pt idx="4">
                    <c:v>3</c:v>
                  </c:pt>
                </c:lvl>
              </c:multiLvlStrCache>
            </c:multiLvlStrRef>
          </c:cat>
          <c:val>
            <c:numRef>
              <c:f>'ALL CHARTS'!$C$139:$C$148</c:f>
              <c:numCache>
                <c:formatCode>General</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0-CC8A-4D78-A0CD-558A968273AB}"/>
            </c:ext>
          </c:extLst>
        </c:ser>
        <c:dLbls>
          <c:showLegendKey val="0"/>
          <c:showVal val="1"/>
          <c:showCatName val="0"/>
          <c:showSerName val="0"/>
          <c:showPercent val="0"/>
          <c:showBubbleSize val="0"/>
        </c:dLbls>
        <c:gapWidth val="150"/>
        <c:shape val="box"/>
        <c:axId val="1742281584"/>
        <c:axId val="1742265264"/>
        <c:axId val="1746042416"/>
      </c:bar3DChart>
      <c:catAx>
        <c:axId val="1742281584"/>
        <c:scaling>
          <c:orientation val="minMax"/>
        </c:scaling>
        <c:delete val="0"/>
        <c:axPos val="b"/>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600" b="0" i="0" u="none" strike="noStrike" kern="1200" baseline="0">
                <a:solidFill>
                  <a:schemeClr val="bg1"/>
                </a:solidFill>
                <a:latin typeface="Arial Black" panose="020B0A04020102020204" pitchFamily="34" charset="0"/>
                <a:ea typeface="+mn-ea"/>
                <a:cs typeface="+mn-cs"/>
              </a:defRPr>
            </a:pPr>
            <a:endParaRPr lang="en-US"/>
          </a:p>
        </c:txPr>
        <c:crossAx val="1742265264"/>
        <c:crosses val="autoZero"/>
        <c:auto val="1"/>
        <c:lblAlgn val="ctr"/>
        <c:lblOffset val="100"/>
        <c:noMultiLvlLbl val="0"/>
      </c:catAx>
      <c:valAx>
        <c:axId val="1742265264"/>
        <c:scaling>
          <c:orientation val="minMax"/>
        </c:scaling>
        <c:delete val="1"/>
        <c:axPos val="l"/>
        <c:numFmt formatCode="General" sourceLinked="1"/>
        <c:majorTickMark val="none"/>
        <c:minorTickMark val="none"/>
        <c:tickLblPos val="nextTo"/>
        <c:crossAx val="1742281584"/>
        <c:crosses val="autoZero"/>
        <c:crossBetween val="between"/>
      </c:valAx>
      <c:serAx>
        <c:axId val="1746042416"/>
        <c:scaling>
          <c:orientation val="minMax"/>
        </c:scaling>
        <c:delete val="1"/>
        <c:axPos val="b"/>
        <c:majorTickMark val="none"/>
        <c:minorTickMark val="none"/>
        <c:tickLblPos val="nextTo"/>
        <c:crossAx val="174226526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PASSENGERS</a:t>
            </a:r>
            <a:r>
              <a:rPr lang="en-US" baseline="0"/>
              <a:t> PER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CHARTS'!$C$12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CHARTS'!$B$13:$B$16</c:f>
              <c:strCache>
                <c:ptCount val="3"/>
                <c:pt idx="0">
                  <c:v>1</c:v>
                </c:pt>
                <c:pt idx="1">
                  <c:v>2</c:v>
                </c:pt>
                <c:pt idx="2">
                  <c:v>3</c:v>
                </c:pt>
              </c:strCache>
            </c:strRef>
          </c:cat>
          <c:val>
            <c:numRef>
              <c:f>'ALL CHARTS'!$C$13:$C$16</c:f>
              <c:numCache>
                <c:formatCode>General</c:formatCode>
                <c:ptCount val="3"/>
                <c:pt idx="0">
                  <c:v>20</c:v>
                </c:pt>
                <c:pt idx="1">
                  <c:v>43</c:v>
                </c:pt>
                <c:pt idx="2">
                  <c:v>81</c:v>
                </c:pt>
              </c:numCache>
            </c:numRef>
          </c:val>
          <c:extLst>
            <c:ext xmlns:c16="http://schemas.microsoft.com/office/drawing/2014/chart" uri="{C3380CC4-5D6E-409C-BE32-E72D297353CC}">
              <c16:uniqueId val="{00000000-08EA-4176-8F76-F13B933C0522}"/>
            </c:ext>
          </c:extLst>
        </c:ser>
        <c:dLbls>
          <c:dLblPos val="outEnd"/>
          <c:showLegendKey val="0"/>
          <c:showVal val="1"/>
          <c:showCatName val="0"/>
          <c:showSerName val="0"/>
          <c:showPercent val="0"/>
          <c:showBubbleSize val="0"/>
        </c:dLbls>
        <c:gapWidth val="219"/>
        <c:overlap val="-27"/>
        <c:axId val="2002980895"/>
        <c:axId val="2002970815"/>
      </c:barChart>
      <c:catAx>
        <c:axId val="20029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70815"/>
        <c:crosses val="autoZero"/>
        <c:auto val="1"/>
        <c:lblAlgn val="ctr"/>
        <c:lblOffset val="100"/>
        <c:noMultiLvlLbl val="0"/>
      </c:catAx>
      <c:valAx>
        <c:axId val="2002970815"/>
        <c:scaling>
          <c:orientation val="minMax"/>
        </c:scaling>
        <c:delete val="1"/>
        <c:axPos val="l"/>
        <c:numFmt formatCode="General" sourceLinked="1"/>
        <c:majorTickMark val="none"/>
        <c:minorTickMark val="none"/>
        <c:tickLblPos val="nextTo"/>
        <c:crossAx val="200298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CHARTS!PivotTable3</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900" b="1" i="0" baseline="0">
                <a:solidFill>
                  <a:schemeClr val="tx1"/>
                </a:solidFill>
                <a:effectLst/>
                <a:latin typeface="Arial Black" panose="020B0A04020102020204" pitchFamily="34" charset="0"/>
              </a:rPr>
              <a:t>TOTAL MALE AND FEMALE PASSENGERS</a:t>
            </a:r>
            <a:endParaRPr lang="en-US" sz="700" b="1">
              <a:solidFill>
                <a:schemeClr val="tx1"/>
              </a:solidFill>
              <a:effectLst/>
              <a:latin typeface="Arial Black" panose="020B0A040201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'ALL CHARTS'!$C$21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50-4566-A8FA-77AAC687B7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50-4566-A8FA-77AAC687B7CB}"/>
              </c:ext>
            </c:extLst>
          </c:dPt>
          <c:cat>
            <c:strRef>
              <c:f>'ALL CHARTS'!$B$22:$B$24</c:f>
              <c:strCache>
                <c:ptCount val="2"/>
                <c:pt idx="0">
                  <c:v>male</c:v>
                </c:pt>
                <c:pt idx="1">
                  <c:v>female</c:v>
                </c:pt>
              </c:strCache>
            </c:strRef>
          </c:cat>
          <c:val>
            <c:numRef>
              <c:f>'ALL CHARTS'!$C$22:$C$24</c:f>
              <c:numCache>
                <c:formatCode>General</c:formatCode>
                <c:ptCount val="2"/>
                <c:pt idx="0">
                  <c:v>90</c:v>
                </c:pt>
                <c:pt idx="1">
                  <c:v>54</c:v>
                </c:pt>
              </c:numCache>
            </c:numRef>
          </c:val>
          <c:extLst>
            <c:ext xmlns:c16="http://schemas.microsoft.com/office/drawing/2014/chart" uri="{C3380CC4-5D6E-409C-BE32-E72D297353CC}">
              <c16:uniqueId val="{00000004-2450-4566-A8FA-77AAC687B7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CHARTS!PivotTable4</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50" b="1" i="0" baseline="0">
                <a:solidFill>
                  <a:schemeClr val="tx1"/>
                </a:solidFill>
                <a:effectLst/>
                <a:latin typeface="Arial Black" panose="020B0A04020102020204" pitchFamily="34" charset="0"/>
              </a:rPr>
              <a:t> PASSENGER THAT SURVIVED BY AGE GROUP</a:t>
            </a:r>
            <a:endParaRPr lang="en-US" sz="900" b="1">
              <a:solidFill>
                <a:schemeClr val="tx1"/>
              </a:solidFill>
              <a:effectLst/>
              <a:latin typeface="Arial Black" panose="020B0A04020102020204" pitchFamily="34" charset="0"/>
            </a:endParaRPr>
          </a:p>
        </c:rich>
      </c:tx>
      <c:layout>
        <c:manualLayout>
          <c:xMode val="edge"/>
          <c:yMode val="edge"/>
          <c:x val="0.16638919483130887"/>
          <c:y val="0.12439701966618197"/>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CHARTS'!$C$33</c:f>
              <c:strCache>
                <c:ptCount val="1"/>
                <c:pt idx="0">
                  <c:v>Total</c:v>
                </c:pt>
              </c:strCache>
            </c:strRef>
          </c:tx>
          <c:spPr>
            <a:solidFill>
              <a:schemeClr val="accent1"/>
            </a:solidFill>
            <a:ln>
              <a:noFill/>
            </a:ln>
            <a:effectLst/>
          </c:spPr>
          <c:invertIfNegative val="0"/>
          <c:cat>
            <c:strRef>
              <c:f>'ALL CHARTS'!$B$34:$B$38</c:f>
              <c:strCache>
                <c:ptCount val="4"/>
                <c:pt idx="0">
                  <c:v>ELDER</c:v>
                </c:pt>
                <c:pt idx="1">
                  <c:v>TEEN</c:v>
                </c:pt>
                <c:pt idx="2">
                  <c:v>YOUTH</c:v>
                </c:pt>
                <c:pt idx="3">
                  <c:v>ADULT</c:v>
                </c:pt>
              </c:strCache>
            </c:strRef>
          </c:cat>
          <c:val>
            <c:numRef>
              <c:f>'ALL CHARTS'!$C$34:$C$38</c:f>
              <c:numCache>
                <c:formatCode>General</c:formatCode>
                <c:ptCount val="4"/>
                <c:pt idx="0">
                  <c:v>14</c:v>
                </c:pt>
                <c:pt idx="1">
                  <c:v>41</c:v>
                </c:pt>
                <c:pt idx="2">
                  <c:v>144</c:v>
                </c:pt>
                <c:pt idx="3">
                  <c:v>219</c:v>
                </c:pt>
              </c:numCache>
            </c:numRef>
          </c:val>
          <c:extLst>
            <c:ext xmlns:c16="http://schemas.microsoft.com/office/drawing/2014/chart" uri="{C3380CC4-5D6E-409C-BE32-E72D297353CC}">
              <c16:uniqueId val="{00000000-C95F-47DE-8DD0-DA3E3D1DC0D2}"/>
            </c:ext>
          </c:extLst>
        </c:ser>
        <c:dLbls>
          <c:showLegendKey val="0"/>
          <c:showVal val="0"/>
          <c:showCatName val="0"/>
          <c:showSerName val="0"/>
          <c:showPercent val="0"/>
          <c:showBubbleSize val="0"/>
        </c:dLbls>
        <c:gapWidth val="182"/>
        <c:axId val="2000653264"/>
        <c:axId val="2000653744"/>
      </c:barChart>
      <c:catAx>
        <c:axId val="200065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53744"/>
        <c:crosses val="autoZero"/>
        <c:auto val="1"/>
        <c:lblAlgn val="ctr"/>
        <c:lblOffset val="100"/>
        <c:noMultiLvlLbl val="0"/>
      </c:catAx>
      <c:valAx>
        <c:axId val="200065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CHARTS!PivotTable7</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latin typeface="Arial Black" panose="020B0A04020102020204" pitchFamily="34" charset="0"/>
              </a:rPr>
              <a:t>TOTAL</a:t>
            </a:r>
            <a:r>
              <a:rPr lang="en-US" sz="900" b="1" baseline="0">
                <a:solidFill>
                  <a:schemeClr val="tx1"/>
                </a:solidFill>
                <a:latin typeface="Arial Black" panose="020B0A04020102020204" pitchFamily="34" charset="0"/>
              </a:rPr>
              <a:t> PASSENGERS THAT EMBARKED AT EACH LOCATION</a:t>
            </a:r>
            <a:endParaRPr lang="en-US" sz="900" b="1">
              <a:solidFill>
                <a:schemeClr val="tx1"/>
              </a:solidFill>
              <a:latin typeface="Arial Black" panose="020B0A04020102020204" pitchFamily="34" charset="0"/>
            </a:endParaRPr>
          </a:p>
        </c:rich>
      </c:tx>
      <c:layout>
        <c:manualLayout>
          <c:xMode val="edge"/>
          <c:yMode val="edge"/>
          <c:x val="0.10068173120987212"/>
          <c:y val="3.478907411755498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'ALL CHARTS'!$C$61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CC-4D14-A12B-4B96ED1BF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CC-4D14-A12B-4B96ED1BF5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CC-4D14-A12B-4B96ED1BF5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CHARTS'!$B$62:$B$65</c:f>
              <c:strCache>
                <c:ptCount val="3"/>
                <c:pt idx="0">
                  <c:v>C</c:v>
                </c:pt>
                <c:pt idx="1">
                  <c:v>Q</c:v>
                </c:pt>
                <c:pt idx="2">
                  <c:v>S</c:v>
                </c:pt>
              </c:strCache>
            </c:strRef>
          </c:cat>
          <c:val>
            <c:numRef>
              <c:f>'ALL CHARTS'!$C$62:$C$65</c:f>
              <c:numCache>
                <c:formatCode>General</c:formatCode>
                <c:ptCount val="3"/>
                <c:pt idx="0">
                  <c:v>26</c:v>
                </c:pt>
                <c:pt idx="1">
                  <c:v>10</c:v>
                </c:pt>
                <c:pt idx="2">
                  <c:v>108</c:v>
                </c:pt>
              </c:numCache>
            </c:numRef>
          </c:val>
          <c:extLst>
            <c:ext xmlns:c16="http://schemas.microsoft.com/office/drawing/2014/chart" uri="{C3380CC4-5D6E-409C-BE32-E72D297353CC}">
              <c16:uniqueId val="{00000006-B6CC-4D14-A12B-4B96ED1BF59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(1).xlsx]ALL CHARTS!PivotTable8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PASSENGER BY CLASS&amp;GENDER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'ALL CHARTS'!$C$74:$C$75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CHARTS'!$B$76:$B$79</c:f>
              <c:strCache>
                <c:ptCount val="3"/>
                <c:pt idx="0">
                  <c:v>1</c:v>
                </c:pt>
                <c:pt idx="1">
                  <c:v>2</c:v>
                </c:pt>
                <c:pt idx="2">
                  <c:v>3</c:v>
                </c:pt>
              </c:strCache>
            </c:strRef>
          </c:cat>
          <c:val>
            <c:numRef>
              <c:f>'ALL CHARTS'!$C$76:$C$79</c:f>
              <c:numCache>
                <c:formatCode>General</c:formatCode>
                <c:ptCount val="3"/>
                <c:pt idx="0">
                  <c:v>13</c:v>
                </c:pt>
                <c:pt idx="1">
                  <c:v>15</c:v>
                </c:pt>
                <c:pt idx="2">
                  <c:v>26</c:v>
                </c:pt>
              </c:numCache>
            </c:numRef>
          </c:val>
          <c:extLst>
            <c:ext xmlns:c16="http://schemas.microsoft.com/office/drawing/2014/chart" uri="{C3380CC4-5D6E-409C-BE32-E72D297353CC}">
              <c16:uniqueId val="{00000000-115D-448D-A3C1-28B0073B575A}"/>
            </c:ext>
          </c:extLst>
        </c:ser>
        <c:ser>
          <c:idx val="1"/>
          <c:order val="1"/>
          <c:tx>
            <c:strRef>
              <c:f>'ALL CHARTS'!$D$74:$D$75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CHARTS'!$B$76:$B$79</c:f>
              <c:strCache>
                <c:ptCount val="3"/>
                <c:pt idx="0">
                  <c:v>1</c:v>
                </c:pt>
                <c:pt idx="1">
                  <c:v>2</c:v>
                </c:pt>
                <c:pt idx="2">
                  <c:v>3</c:v>
                </c:pt>
              </c:strCache>
            </c:strRef>
          </c:cat>
          <c:val>
            <c:numRef>
              <c:f>'ALL CHARTS'!$D$76:$D$79</c:f>
              <c:numCache>
                <c:formatCode>General</c:formatCode>
                <c:ptCount val="3"/>
                <c:pt idx="0">
                  <c:v>7</c:v>
                </c:pt>
                <c:pt idx="1">
                  <c:v>28</c:v>
                </c:pt>
                <c:pt idx="2">
                  <c:v>55</c:v>
                </c:pt>
              </c:numCache>
            </c:numRef>
          </c:val>
          <c:extLst>
            <c:ext xmlns:c16="http://schemas.microsoft.com/office/drawing/2014/chart" uri="{C3380CC4-5D6E-409C-BE32-E72D297353CC}">
              <c16:uniqueId val="{00000000-D4A9-42B2-BE52-054A100C5BE5}"/>
            </c:ext>
          </c:extLst>
        </c:ser>
        <c:dLbls>
          <c:dLblPos val="outEnd"/>
          <c:showLegendKey val="0"/>
          <c:showVal val="1"/>
          <c:showCatName val="0"/>
          <c:showSerName val="0"/>
          <c:showPercent val="0"/>
          <c:showBubbleSize val="0"/>
        </c:dLbls>
        <c:gapWidth val="219"/>
        <c:overlap val="-27"/>
        <c:axId val="440871616"/>
        <c:axId val="440867776"/>
      </c:barChart>
      <c:catAx>
        <c:axId val="440871616"/>
        <c:scaling>
          <c:orientation val="minMax"/>
        </c:scaling>
        <c:delete val="1"/>
        <c:axPos val="b"/>
        <c:numFmt formatCode="General" sourceLinked="1"/>
        <c:majorTickMark val="none"/>
        <c:minorTickMark val="none"/>
        <c:tickLblPos val="nextTo"/>
        <c:crossAx val="440867776"/>
        <c:crosses val="autoZero"/>
        <c:auto val="1"/>
        <c:lblAlgn val="ctr"/>
        <c:lblOffset val="100"/>
        <c:noMultiLvlLbl val="0"/>
      </c:catAx>
      <c:valAx>
        <c:axId val="440867776"/>
        <c:scaling>
          <c:orientation val="minMax"/>
        </c:scaling>
        <c:delete val="1"/>
        <c:axPos val="l"/>
        <c:numFmt formatCode="General" sourceLinked="1"/>
        <c:majorTickMark val="none"/>
        <c:minorTickMark val="none"/>
        <c:tickLblPos val="nextTo"/>
        <c:crossAx val="44087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chart" Target="../charts/chart30.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38.xml"/><Relationship Id="rId13" Type="http://schemas.openxmlformats.org/officeDocument/2006/relationships/chart" Target="../charts/chart43.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2.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1.xml"/><Relationship Id="rId5" Type="http://schemas.openxmlformats.org/officeDocument/2006/relationships/chart" Target="../charts/chart35.xml"/><Relationship Id="rId10" Type="http://schemas.openxmlformats.org/officeDocument/2006/relationships/chart" Target="../charts/chart40.xml"/><Relationship Id="rId4" Type="http://schemas.openxmlformats.org/officeDocument/2006/relationships/chart" Target="../charts/chart34.xml"/><Relationship Id="rId9" Type="http://schemas.openxmlformats.org/officeDocument/2006/relationships/chart" Target="../charts/chart39.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chart" Target="../charts/chart55.xml"/><Relationship Id="rId3" Type="http://schemas.openxmlformats.org/officeDocument/2006/relationships/chart" Target="../charts/chart45.xml"/><Relationship Id="rId7" Type="http://schemas.openxmlformats.org/officeDocument/2006/relationships/chart" Target="../charts/chart49.xml"/><Relationship Id="rId12" Type="http://schemas.openxmlformats.org/officeDocument/2006/relationships/chart" Target="../charts/chart54.xml"/><Relationship Id="rId2" Type="http://schemas.openxmlformats.org/officeDocument/2006/relationships/image" Target="../media/image1.jpeg"/><Relationship Id="rId1" Type="http://schemas.openxmlformats.org/officeDocument/2006/relationships/chart" Target="../charts/chart44.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0" Type="http://schemas.openxmlformats.org/officeDocument/2006/relationships/chart" Target="../charts/chart52.xml"/><Relationship Id="rId4" Type="http://schemas.openxmlformats.org/officeDocument/2006/relationships/chart" Target="../charts/chart46.xml"/><Relationship Id="rId9" Type="http://schemas.openxmlformats.org/officeDocument/2006/relationships/chart" Target="../charts/chart51.xml"/><Relationship Id="rId14" Type="http://schemas.openxmlformats.org/officeDocument/2006/relationships/image" Target="../media/image2.jpg"/></Relationships>
</file>

<file path=xl/drawings/_rels/drawing18.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5" Type="http://schemas.openxmlformats.org/officeDocument/2006/relationships/chart" Target="../charts/chart60.xml"/><Relationship Id="rId4" Type="http://schemas.openxmlformats.org/officeDocument/2006/relationships/chart" Target="../charts/chart59.xml"/></Relationships>
</file>

<file path=xl/drawings/drawing1.xml><?xml version="1.0" encoding="utf-8"?>
<xdr:wsDr xmlns:xdr="http://schemas.openxmlformats.org/drawingml/2006/spreadsheetDrawing" xmlns:a="http://schemas.openxmlformats.org/drawingml/2006/main">
  <xdr:twoCellAnchor>
    <xdr:from>
      <xdr:col>2</xdr:col>
      <xdr:colOff>266700</xdr:colOff>
      <xdr:row>3</xdr:row>
      <xdr:rowOff>146050</xdr:rowOff>
    </xdr:from>
    <xdr:to>
      <xdr:col>10</xdr:col>
      <xdr:colOff>355600</xdr:colOff>
      <xdr:row>18</xdr:row>
      <xdr:rowOff>0</xdr:rowOff>
    </xdr:to>
    <xdr:graphicFrame macro="">
      <xdr:nvGraphicFramePr>
        <xdr:cNvPr id="2" name="Chart 1">
          <a:extLst>
            <a:ext uri="{FF2B5EF4-FFF2-40B4-BE49-F238E27FC236}">
              <a16:creationId xmlns:a16="http://schemas.microsoft.com/office/drawing/2014/main" id="{4434130D-0090-6110-8F75-2216D8824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196850</xdr:colOff>
      <xdr:row>4</xdr:row>
      <xdr:rowOff>38100</xdr:rowOff>
    </xdr:from>
    <xdr:to>
      <xdr:col>9</xdr:col>
      <xdr:colOff>501650</xdr:colOff>
      <xdr:row>19</xdr:row>
      <xdr:rowOff>19050</xdr:rowOff>
    </xdr:to>
    <xdr:graphicFrame macro="">
      <xdr:nvGraphicFramePr>
        <xdr:cNvPr id="2" name="Chart 1">
          <a:extLst>
            <a:ext uri="{FF2B5EF4-FFF2-40B4-BE49-F238E27FC236}">
              <a16:creationId xmlns:a16="http://schemas.microsoft.com/office/drawing/2014/main" id="{BD0917D8-087E-F954-AAF1-52ABC1BBA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xdr:colOff>
      <xdr:row>3</xdr:row>
      <xdr:rowOff>107950</xdr:rowOff>
    </xdr:from>
    <xdr:to>
      <xdr:col>9</xdr:col>
      <xdr:colOff>307975</xdr:colOff>
      <xdr:row>18</xdr:row>
      <xdr:rowOff>88900</xdr:rowOff>
    </xdr:to>
    <xdr:graphicFrame macro="">
      <xdr:nvGraphicFramePr>
        <xdr:cNvPr id="3" name="Chart 2">
          <a:extLst>
            <a:ext uri="{FF2B5EF4-FFF2-40B4-BE49-F238E27FC236}">
              <a16:creationId xmlns:a16="http://schemas.microsoft.com/office/drawing/2014/main" id="{FDBDE836-4D64-EEF9-01D6-D0C90CAFC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142875</xdr:colOff>
      <xdr:row>3</xdr:row>
      <xdr:rowOff>38100</xdr:rowOff>
    </xdr:from>
    <xdr:to>
      <xdr:col>10</xdr:col>
      <xdr:colOff>447675</xdr:colOff>
      <xdr:row>18</xdr:row>
      <xdr:rowOff>19050</xdr:rowOff>
    </xdr:to>
    <xdr:graphicFrame macro="">
      <xdr:nvGraphicFramePr>
        <xdr:cNvPr id="3" name="Chart 2">
          <a:extLst>
            <a:ext uri="{FF2B5EF4-FFF2-40B4-BE49-F238E27FC236}">
              <a16:creationId xmlns:a16="http://schemas.microsoft.com/office/drawing/2014/main" id="{A358CF9A-6C44-9ACA-A34D-73BCDEAF3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3</xdr:row>
      <xdr:rowOff>133350</xdr:rowOff>
    </xdr:from>
    <xdr:to>
      <xdr:col>10</xdr:col>
      <xdr:colOff>330200</xdr:colOff>
      <xdr:row>18</xdr:row>
      <xdr:rowOff>114300</xdr:rowOff>
    </xdr:to>
    <xdr:graphicFrame macro="">
      <xdr:nvGraphicFramePr>
        <xdr:cNvPr id="2" name="Chart 1">
          <a:extLst>
            <a:ext uri="{FF2B5EF4-FFF2-40B4-BE49-F238E27FC236}">
              <a16:creationId xmlns:a16="http://schemas.microsoft.com/office/drawing/2014/main" id="{04C71156-9A44-4D43-DCBE-1A19E28B3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273050</xdr:colOff>
      <xdr:row>6</xdr:row>
      <xdr:rowOff>171450</xdr:rowOff>
    </xdr:from>
    <xdr:to>
      <xdr:col>11</xdr:col>
      <xdr:colOff>495300</xdr:colOff>
      <xdr:row>20</xdr:row>
      <xdr:rowOff>171450</xdr:rowOff>
    </xdr:to>
    <xdr:graphicFrame macro="">
      <xdr:nvGraphicFramePr>
        <xdr:cNvPr id="2" name="Chart 1">
          <a:extLst>
            <a:ext uri="{FF2B5EF4-FFF2-40B4-BE49-F238E27FC236}">
              <a16:creationId xmlns:a16="http://schemas.microsoft.com/office/drawing/2014/main" id="{2A0525E7-763F-7CF3-4BCE-5E44DA33B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273050</xdr:colOff>
      <xdr:row>3</xdr:row>
      <xdr:rowOff>127000</xdr:rowOff>
    </xdr:from>
    <xdr:to>
      <xdr:col>10</xdr:col>
      <xdr:colOff>577850</xdr:colOff>
      <xdr:row>18</xdr:row>
      <xdr:rowOff>107950</xdr:rowOff>
    </xdr:to>
    <xdr:graphicFrame macro="">
      <xdr:nvGraphicFramePr>
        <xdr:cNvPr id="2" name="Chart 1">
          <a:extLst>
            <a:ext uri="{FF2B5EF4-FFF2-40B4-BE49-F238E27FC236}">
              <a16:creationId xmlns:a16="http://schemas.microsoft.com/office/drawing/2014/main" id="{D1370D92-B14C-01F6-C267-9A0D91A92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57150</xdr:colOff>
      <xdr:row>3</xdr:row>
      <xdr:rowOff>107950</xdr:rowOff>
    </xdr:from>
    <xdr:to>
      <xdr:col>9</xdr:col>
      <xdr:colOff>361950</xdr:colOff>
      <xdr:row>18</xdr:row>
      <xdr:rowOff>88900</xdr:rowOff>
    </xdr:to>
    <xdr:graphicFrame macro="">
      <xdr:nvGraphicFramePr>
        <xdr:cNvPr id="2" name="Chart 1">
          <a:extLst>
            <a:ext uri="{FF2B5EF4-FFF2-40B4-BE49-F238E27FC236}">
              <a16:creationId xmlns:a16="http://schemas.microsoft.com/office/drawing/2014/main" id="{00B7EA8F-20B9-8909-E8D1-7001F9C1A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xdr:colOff>
      <xdr:row>3</xdr:row>
      <xdr:rowOff>107950</xdr:rowOff>
    </xdr:from>
    <xdr:to>
      <xdr:col>9</xdr:col>
      <xdr:colOff>361950</xdr:colOff>
      <xdr:row>18</xdr:row>
      <xdr:rowOff>88900</xdr:rowOff>
    </xdr:to>
    <xdr:graphicFrame macro="">
      <xdr:nvGraphicFramePr>
        <xdr:cNvPr id="2" name="Chart 1">
          <a:extLst>
            <a:ext uri="{FF2B5EF4-FFF2-40B4-BE49-F238E27FC236}">
              <a16:creationId xmlns:a16="http://schemas.microsoft.com/office/drawing/2014/main" id="{84FC1C4B-D345-6247-4CFB-80BC4AF50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57150</xdr:colOff>
      <xdr:row>3</xdr:row>
      <xdr:rowOff>107950</xdr:rowOff>
    </xdr:from>
    <xdr:to>
      <xdr:col>9</xdr:col>
      <xdr:colOff>361950</xdr:colOff>
      <xdr:row>18</xdr:row>
      <xdr:rowOff>88900</xdr:rowOff>
    </xdr:to>
    <xdr:graphicFrame macro="">
      <xdr:nvGraphicFramePr>
        <xdr:cNvPr id="2" name="Chart 1">
          <a:extLst>
            <a:ext uri="{FF2B5EF4-FFF2-40B4-BE49-F238E27FC236}">
              <a16:creationId xmlns:a16="http://schemas.microsoft.com/office/drawing/2014/main" id="{A79B9323-D9AC-64AB-0273-DDC3BEBFF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365125</xdr:colOff>
      <xdr:row>3</xdr:row>
      <xdr:rowOff>107950</xdr:rowOff>
    </xdr:from>
    <xdr:to>
      <xdr:col>10</xdr:col>
      <xdr:colOff>60325</xdr:colOff>
      <xdr:row>18</xdr:row>
      <xdr:rowOff>88900</xdr:rowOff>
    </xdr:to>
    <xdr:graphicFrame macro="">
      <xdr:nvGraphicFramePr>
        <xdr:cNvPr id="3" name="Chart 2">
          <a:extLst>
            <a:ext uri="{FF2B5EF4-FFF2-40B4-BE49-F238E27FC236}">
              <a16:creationId xmlns:a16="http://schemas.microsoft.com/office/drawing/2014/main" id="{A9433A66-538B-A358-6880-3DCC74F7D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107950</xdr:colOff>
      <xdr:row>3</xdr:row>
      <xdr:rowOff>69850</xdr:rowOff>
    </xdr:from>
    <xdr:to>
      <xdr:col>10</xdr:col>
      <xdr:colOff>412750</xdr:colOff>
      <xdr:row>18</xdr:row>
      <xdr:rowOff>50800</xdr:rowOff>
    </xdr:to>
    <xdr:graphicFrame macro="">
      <xdr:nvGraphicFramePr>
        <xdr:cNvPr id="2" name="Chart 1">
          <a:extLst>
            <a:ext uri="{FF2B5EF4-FFF2-40B4-BE49-F238E27FC236}">
              <a16:creationId xmlns:a16="http://schemas.microsoft.com/office/drawing/2014/main" id="{3F04951D-21FF-FF52-C765-3B55F3CBB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292100</xdr:colOff>
      <xdr:row>3</xdr:row>
      <xdr:rowOff>152400</xdr:rowOff>
    </xdr:from>
    <xdr:to>
      <xdr:col>10</xdr:col>
      <xdr:colOff>596900</xdr:colOff>
      <xdr:row>18</xdr:row>
      <xdr:rowOff>133350</xdr:rowOff>
    </xdr:to>
    <xdr:graphicFrame macro="">
      <xdr:nvGraphicFramePr>
        <xdr:cNvPr id="2" name="Chart 1">
          <a:extLst>
            <a:ext uri="{FF2B5EF4-FFF2-40B4-BE49-F238E27FC236}">
              <a16:creationId xmlns:a16="http://schemas.microsoft.com/office/drawing/2014/main" id="{DD6A21E0-87FB-9D30-D69F-2EB43A4F0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114300</xdr:colOff>
      <xdr:row>3</xdr:row>
      <xdr:rowOff>127000</xdr:rowOff>
    </xdr:from>
    <xdr:to>
      <xdr:col>10</xdr:col>
      <xdr:colOff>419100</xdr:colOff>
      <xdr:row>18</xdr:row>
      <xdr:rowOff>107950</xdr:rowOff>
    </xdr:to>
    <xdr:graphicFrame macro="">
      <xdr:nvGraphicFramePr>
        <xdr:cNvPr id="2" name="Chart 1">
          <a:extLst>
            <a:ext uri="{FF2B5EF4-FFF2-40B4-BE49-F238E27FC236}">
              <a16:creationId xmlns:a16="http://schemas.microsoft.com/office/drawing/2014/main" id="{CECEF5F2-9965-D5BF-8976-DF4DAF22A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97692</xdr:colOff>
      <xdr:row>3</xdr:row>
      <xdr:rowOff>45357</xdr:rowOff>
    </xdr:from>
    <xdr:to>
      <xdr:col>40</xdr:col>
      <xdr:colOff>377976</xdr:colOff>
      <xdr:row>53</xdr:row>
      <xdr:rowOff>151190</xdr:rowOff>
    </xdr:to>
    <xdr:sp macro="" textlink="">
      <xdr:nvSpPr>
        <xdr:cNvPr id="34" name="Rectangle: Rounded Corners 33">
          <a:extLst>
            <a:ext uri="{FF2B5EF4-FFF2-40B4-BE49-F238E27FC236}">
              <a16:creationId xmlns:a16="http://schemas.microsoft.com/office/drawing/2014/main" id="{C093C1AF-EB06-5E95-2B2F-6EADCB9B5762}"/>
            </a:ext>
          </a:extLst>
        </xdr:cNvPr>
        <xdr:cNvSpPr/>
      </xdr:nvSpPr>
      <xdr:spPr>
        <a:xfrm>
          <a:off x="702454" y="589643"/>
          <a:ext cx="23865998" cy="9177261"/>
        </a:xfrm>
        <a:prstGeom prst="roundRect">
          <a:avLst/>
        </a:prstGeom>
        <a:solidFill>
          <a:schemeClr val="accent6">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146538</xdr:colOff>
      <xdr:row>4</xdr:row>
      <xdr:rowOff>15119</xdr:rowOff>
    </xdr:from>
    <xdr:to>
      <xdr:col>7</xdr:col>
      <xdr:colOff>24424</xdr:colOff>
      <xdr:row>19</xdr:row>
      <xdr:rowOff>36634</xdr:rowOff>
    </xdr:to>
    <xdr:graphicFrame macro="">
      <xdr:nvGraphicFramePr>
        <xdr:cNvPr id="2" name="Chart 1">
          <a:extLst>
            <a:ext uri="{FF2B5EF4-FFF2-40B4-BE49-F238E27FC236}">
              <a16:creationId xmlns:a16="http://schemas.microsoft.com/office/drawing/2014/main" id="{F538AB86-89C2-48D4-ADE9-73677FE2E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255280</xdr:colOff>
      <xdr:row>19</xdr:row>
      <xdr:rowOff>105833</xdr:rowOff>
    </xdr:from>
    <xdr:to>
      <xdr:col>19</xdr:col>
      <xdr:colOff>181429</xdr:colOff>
      <xdr:row>36</xdr:row>
      <xdr:rowOff>15121</xdr:rowOff>
    </xdr:to>
    <xdr:graphicFrame macro="">
      <xdr:nvGraphicFramePr>
        <xdr:cNvPr id="23" name="Chart 22">
          <a:extLst>
            <a:ext uri="{FF2B5EF4-FFF2-40B4-BE49-F238E27FC236}">
              <a16:creationId xmlns:a16="http://schemas.microsoft.com/office/drawing/2014/main" id="{9AC4CF87-2F57-45BA-A358-ED38FC24B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149111</xdr:colOff>
      <xdr:row>19</xdr:row>
      <xdr:rowOff>142466</xdr:rowOff>
    </xdr:from>
    <xdr:to>
      <xdr:col>7</xdr:col>
      <xdr:colOff>48846</xdr:colOff>
      <xdr:row>36</xdr:row>
      <xdr:rowOff>60476</xdr:rowOff>
    </xdr:to>
    <xdr:graphicFrame macro="">
      <xdr:nvGraphicFramePr>
        <xdr:cNvPr id="24" name="Chart 23">
          <a:extLst>
            <a:ext uri="{FF2B5EF4-FFF2-40B4-BE49-F238E27FC236}">
              <a16:creationId xmlns:a16="http://schemas.microsoft.com/office/drawing/2014/main" id="{D52AE8E6-8131-43DF-A728-268B69C98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339663</xdr:colOff>
      <xdr:row>4</xdr:row>
      <xdr:rowOff>105834</xdr:rowOff>
    </xdr:from>
    <xdr:to>
      <xdr:col>25</xdr:col>
      <xdr:colOff>453571</xdr:colOff>
      <xdr:row>24</xdr:row>
      <xdr:rowOff>90714</xdr:rowOff>
    </xdr:to>
    <xdr:graphicFrame macro="">
      <xdr:nvGraphicFramePr>
        <xdr:cNvPr id="25" name="Chart 24">
          <a:extLst>
            <a:ext uri="{FF2B5EF4-FFF2-40B4-BE49-F238E27FC236}">
              <a16:creationId xmlns:a16="http://schemas.microsoft.com/office/drawing/2014/main" id="{78165781-AFC0-4CFC-A475-03C38306B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120952</xdr:colOff>
      <xdr:row>4</xdr:row>
      <xdr:rowOff>45358</xdr:rowOff>
    </xdr:from>
    <xdr:to>
      <xdr:col>19</xdr:col>
      <xdr:colOff>268072</xdr:colOff>
      <xdr:row>19</xdr:row>
      <xdr:rowOff>30239</xdr:rowOff>
    </xdr:to>
    <xdr:graphicFrame macro="">
      <xdr:nvGraphicFramePr>
        <xdr:cNvPr id="28" name="Chart 27">
          <a:extLst>
            <a:ext uri="{FF2B5EF4-FFF2-40B4-BE49-F238E27FC236}">
              <a16:creationId xmlns:a16="http://schemas.microsoft.com/office/drawing/2014/main" id="{4DEEDA77-18C6-49B7-B14D-D9188998B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116039</xdr:colOff>
      <xdr:row>4</xdr:row>
      <xdr:rowOff>45357</xdr:rowOff>
    </xdr:from>
    <xdr:to>
      <xdr:col>13</xdr:col>
      <xdr:colOff>12212</xdr:colOff>
      <xdr:row>19</xdr:row>
      <xdr:rowOff>36635</xdr:rowOff>
    </xdr:to>
    <xdr:graphicFrame macro="">
      <xdr:nvGraphicFramePr>
        <xdr:cNvPr id="29" name="Chart 28">
          <a:extLst>
            <a:ext uri="{FF2B5EF4-FFF2-40B4-BE49-F238E27FC236}">
              <a16:creationId xmlns:a16="http://schemas.microsoft.com/office/drawing/2014/main" id="{6998EA12-BD34-43BD-B165-0B8E83865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207014</xdr:colOff>
      <xdr:row>24</xdr:row>
      <xdr:rowOff>152353</xdr:rowOff>
    </xdr:from>
    <xdr:to>
      <xdr:col>25</xdr:col>
      <xdr:colOff>500091</xdr:colOff>
      <xdr:row>45</xdr:row>
      <xdr:rowOff>95366</xdr:rowOff>
    </xdr:to>
    <xdr:graphicFrame macro="">
      <xdr:nvGraphicFramePr>
        <xdr:cNvPr id="30" name="Chart 29">
          <a:extLst>
            <a:ext uri="{FF2B5EF4-FFF2-40B4-BE49-F238E27FC236}">
              <a16:creationId xmlns:a16="http://schemas.microsoft.com/office/drawing/2014/main" id="{70560A4C-5F2F-4E2A-BF1D-0A83E88E4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117464</xdr:colOff>
      <xdr:row>19</xdr:row>
      <xdr:rowOff>151190</xdr:rowOff>
    </xdr:from>
    <xdr:to>
      <xdr:col>13</xdr:col>
      <xdr:colOff>181428</xdr:colOff>
      <xdr:row>36</xdr:row>
      <xdr:rowOff>105833</xdr:rowOff>
    </xdr:to>
    <xdr:graphicFrame macro="">
      <xdr:nvGraphicFramePr>
        <xdr:cNvPr id="31" name="Chart 30">
          <a:extLst>
            <a:ext uri="{FF2B5EF4-FFF2-40B4-BE49-F238E27FC236}">
              <a16:creationId xmlns:a16="http://schemas.microsoft.com/office/drawing/2014/main" id="{E63C12AE-0C84-46F9-A41C-55A17449E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227948</xdr:colOff>
      <xdr:row>44</xdr:row>
      <xdr:rowOff>46521</xdr:rowOff>
    </xdr:from>
    <xdr:to>
      <xdr:col>36</xdr:col>
      <xdr:colOff>136071</xdr:colOff>
      <xdr:row>52</xdr:row>
      <xdr:rowOff>22097</xdr:rowOff>
    </xdr:to>
    <xdr:graphicFrame macro="">
      <xdr:nvGraphicFramePr>
        <xdr:cNvPr id="33" name="Chart 32">
          <a:extLst>
            <a:ext uri="{FF2B5EF4-FFF2-40B4-BE49-F238E27FC236}">
              <a16:creationId xmlns:a16="http://schemas.microsoft.com/office/drawing/2014/main" id="{42F5C89B-D4F5-4B6C-838E-041A6B457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502999</xdr:colOff>
      <xdr:row>4</xdr:row>
      <xdr:rowOff>120954</xdr:rowOff>
    </xdr:from>
    <xdr:to>
      <xdr:col>30</xdr:col>
      <xdr:colOff>574523</xdr:colOff>
      <xdr:row>18</xdr:row>
      <xdr:rowOff>105834</xdr:rowOff>
    </xdr:to>
    <xdr:graphicFrame macro="">
      <xdr:nvGraphicFramePr>
        <xdr:cNvPr id="3" name="Chart 2">
          <a:extLst>
            <a:ext uri="{FF2B5EF4-FFF2-40B4-BE49-F238E27FC236}">
              <a16:creationId xmlns:a16="http://schemas.microsoft.com/office/drawing/2014/main" id="{0641B9A2-D7F1-43A0-A320-B84521E11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563475</xdr:colOff>
      <xdr:row>18</xdr:row>
      <xdr:rowOff>166310</xdr:rowOff>
    </xdr:from>
    <xdr:to>
      <xdr:col>31</xdr:col>
      <xdr:colOff>60476</xdr:colOff>
      <xdr:row>30</xdr:row>
      <xdr:rowOff>148284</xdr:rowOff>
    </xdr:to>
    <xdr:graphicFrame macro="">
      <xdr:nvGraphicFramePr>
        <xdr:cNvPr id="4" name="Chart 3">
          <a:extLst>
            <a:ext uri="{FF2B5EF4-FFF2-40B4-BE49-F238E27FC236}">
              <a16:creationId xmlns:a16="http://schemas.microsoft.com/office/drawing/2014/main" id="{36892301-42C8-40CE-88E2-13DAE8578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545879</xdr:colOff>
      <xdr:row>31</xdr:row>
      <xdr:rowOff>15120</xdr:rowOff>
    </xdr:from>
    <xdr:to>
      <xdr:col>31</xdr:col>
      <xdr:colOff>77339</xdr:colOff>
      <xdr:row>45</xdr:row>
      <xdr:rowOff>37798</xdr:rowOff>
    </xdr:to>
    <xdr:graphicFrame macro="">
      <xdr:nvGraphicFramePr>
        <xdr:cNvPr id="5" name="Chart 4">
          <a:extLst>
            <a:ext uri="{FF2B5EF4-FFF2-40B4-BE49-F238E27FC236}">
              <a16:creationId xmlns:a16="http://schemas.microsoft.com/office/drawing/2014/main" id="{BBF52339-D68D-4543-8AD9-01458885C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151191</xdr:colOff>
      <xdr:row>32</xdr:row>
      <xdr:rowOff>75596</xdr:rowOff>
    </xdr:from>
    <xdr:to>
      <xdr:col>36</xdr:col>
      <xdr:colOff>167474</xdr:colOff>
      <xdr:row>44</xdr:row>
      <xdr:rowOff>178631</xdr:rowOff>
    </xdr:to>
    <xdr:graphicFrame macro="">
      <xdr:nvGraphicFramePr>
        <xdr:cNvPr id="6" name="Chart 5">
          <a:extLst>
            <a:ext uri="{FF2B5EF4-FFF2-40B4-BE49-F238E27FC236}">
              <a16:creationId xmlns:a16="http://schemas.microsoft.com/office/drawing/2014/main" id="{FC83F40F-7ABE-43FC-B261-C043B6B37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141264</xdr:colOff>
      <xdr:row>19</xdr:row>
      <xdr:rowOff>60476</xdr:rowOff>
    </xdr:from>
    <xdr:to>
      <xdr:col>36</xdr:col>
      <xdr:colOff>44195</xdr:colOff>
      <xdr:row>32</xdr:row>
      <xdr:rowOff>15118</xdr:rowOff>
    </xdr:to>
    <xdr:graphicFrame macro="">
      <xdr:nvGraphicFramePr>
        <xdr:cNvPr id="7" name="Chart 6">
          <a:extLst>
            <a:ext uri="{FF2B5EF4-FFF2-40B4-BE49-F238E27FC236}">
              <a16:creationId xmlns:a16="http://schemas.microsoft.com/office/drawing/2014/main" id="{B7065845-179B-4C29-AD0D-7DB62B7B3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31</xdr:col>
      <xdr:colOff>73952</xdr:colOff>
      <xdr:row>4</xdr:row>
      <xdr:rowOff>151191</xdr:rowOff>
    </xdr:from>
    <xdr:to>
      <xdr:col>35</xdr:col>
      <xdr:colOff>579102</xdr:colOff>
      <xdr:row>18</xdr:row>
      <xdr:rowOff>144434</xdr:rowOff>
    </xdr:to>
    <xdr:graphicFrame macro="">
      <xdr:nvGraphicFramePr>
        <xdr:cNvPr id="8" name="Chart 7">
          <a:extLst>
            <a:ext uri="{FF2B5EF4-FFF2-40B4-BE49-F238E27FC236}">
              <a16:creationId xmlns:a16="http://schemas.microsoft.com/office/drawing/2014/main" id="{3D2D3925-4DD1-43ED-982D-AB99650FB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287260</xdr:colOff>
      <xdr:row>36</xdr:row>
      <xdr:rowOff>143740</xdr:rowOff>
    </xdr:from>
    <xdr:to>
      <xdr:col>19</xdr:col>
      <xdr:colOff>91877</xdr:colOff>
      <xdr:row>45</xdr:row>
      <xdr:rowOff>17811</xdr:rowOff>
    </xdr:to>
    <xdr:graphicFrame macro="">
      <xdr:nvGraphicFramePr>
        <xdr:cNvPr id="10" name="Chart 9">
          <a:extLst>
            <a:ext uri="{FF2B5EF4-FFF2-40B4-BE49-F238E27FC236}">
              <a16:creationId xmlns:a16="http://schemas.microsoft.com/office/drawing/2014/main" id="{32801CB0-FFD1-4C13-8F7B-B1489F544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37</xdr:col>
      <xdr:colOff>196548</xdr:colOff>
      <xdr:row>6</xdr:row>
      <xdr:rowOff>151192</xdr:rowOff>
    </xdr:from>
    <xdr:to>
      <xdr:col>40</xdr:col>
      <xdr:colOff>317500</xdr:colOff>
      <xdr:row>10</xdr:row>
      <xdr:rowOff>151190</xdr:rowOff>
    </xdr:to>
    <xdr:sp macro="" textlink="">
      <xdr:nvSpPr>
        <xdr:cNvPr id="9" name="Rectangle: Rounded Corners 8">
          <a:extLst>
            <a:ext uri="{FF2B5EF4-FFF2-40B4-BE49-F238E27FC236}">
              <a16:creationId xmlns:a16="http://schemas.microsoft.com/office/drawing/2014/main" id="{F1712A3E-B252-7B09-AEA7-8AE805557460}"/>
            </a:ext>
          </a:extLst>
        </xdr:cNvPr>
        <xdr:cNvSpPr/>
      </xdr:nvSpPr>
      <xdr:spPr>
        <a:xfrm>
          <a:off x="22572738" y="1239763"/>
          <a:ext cx="1935238" cy="72571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Cambria" panose="02040503050406030204" pitchFamily="18" charset="0"/>
              <a:ea typeface="Cambria" panose="02040503050406030204" pitchFamily="18" charset="0"/>
            </a:rPr>
            <a:t>TOTAL PASSENGER</a:t>
          </a:r>
        </a:p>
      </xdr:txBody>
    </xdr:sp>
    <xdr:clientData/>
  </xdr:twoCellAnchor>
  <xdr:twoCellAnchor>
    <xdr:from>
      <xdr:col>37</xdr:col>
      <xdr:colOff>393096</xdr:colOff>
      <xdr:row>8</xdr:row>
      <xdr:rowOff>60477</xdr:rowOff>
    </xdr:from>
    <xdr:to>
      <xdr:col>39</xdr:col>
      <xdr:colOff>574524</xdr:colOff>
      <xdr:row>10</xdr:row>
      <xdr:rowOff>136072</xdr:rowOff>
    </xdr:to>
    <xdr:sp macro="" textlink="'ALL CHARTS'!$C$4">
      <xdr:nvSpPr>
        <xdr:cNvPr id="11" name="TextBox 10">
          <a:extLst>
            <a:ext uri="{FF2B5EF4-FFF2-40B4-BE49-F238E27FC236}">
              <a16:creationId xmlns:a16="http://schemas.microsoft.com/office/drawing/2014/main" id="{13745091-CB0B-3EF2-60F2-B6258262B1C5}"/>
            </a:ext>
          </a:extLst>
        </xdr:cNvPr>
        <xdr:cNvSpPr txBox="1"/>
      </xdr:nvSpPr>
      <xdr:spPr>
        <a:xfrm>
          <a:off x="22769286" y="1511906"/>
          <a:ext cx="1390952" cy="438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F1BB27-3E9E-41ED-9C67-23C2AD2902E0}"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144</a:t>
          </a:fld>
          <a:endParaRPr lang="en-US" sz="180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12700</xdr:colOff>
      <xdr:row>6</xdr:row>
      <xdr:rowOff>19050</xdr:rowOff>
    </xdr:from>
    <xdr:to>
      <xdr:col>9</xdr:col>
      <xdr:colOff>234950</xdr:colOff>
      <xdr:row>16</xdr:row>
      <xdr:rowOff>19050</xdr:rowOff>
    </xdr:to>
    <xdr:graphicFrame macro="">
      <xdr:nvGraphicFramePr>
        <xdr:cNvPr id="2" name="Chart 1">
          <a:extLst>
            <a:ext uri="{FF2B5EF4-FFF2-40B4-BE49-F238E27FC236}">
              <a16:creationId xmlns:a16="http://schemas.microsoft.com/office/drawing/2014/main" id="{8574908D-F926-CDCE-0B07-5FCC9EF85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69850</xdr:colOff>
      <xdr:row>60</xdr:row>
      <xdr:rowOff>152400</xdr:rowOff>
    </xdr:from>
    <xdr:to>
      <xdr:col>9</xdr:col>
      <xdr:colOff>31750</xdr:colOff>
      <xdr:row>71</xdr:row>
      <xdr:rowOff>44450</xdr:rowOff>
    </xdr:to>
    <xdr:graphicFrame macro="">
      <xdr:nvGraphicFramePr>
        <xdr:cNvPr id="7" name="Chart 6">
          <a:extLst>
            <a:ext uri="{FF2B5EF4-FFF2-40B4-BE49-F238E27FC236}">
              <a16:creationId xmlns:a16="http://schemas.microsoft.com/office/drawing/2014/main" id="{5745C047-F9FE-75FD-9E8F-423834F83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565150</xdr:colOff>
      <xdr:row>72</xdr:row>
      <xdr:rowOff>50800</xdr:rowOff>
    </xdr:from>
    <xdr:to>
      <xdr:col>11</xdr:col>
      <xdr:colOff>88900</xdr:colOff>
      <xdr:row>79</xdr:row>
      <xdr:rowOff>131379</xdr:rowOff>
    </xdr:to>
    <xdr:graphicFrame macro="">
      <xdr:nvGraphicFramePr>
        <xdr:cNvPr id="8" name="Chart 7">
          <a:extLst>
            <a:ext uri="{FF2B5EF4-FFF2-40B4-BE49-F238E27FC236}">
              <a16:creationId xmlns:a16="http://schemas.microsoft.com/office/drawing/2014/main" id="{FC2F010B-1731-5A28-CA30-16792CDAE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314325</xdr:colOff>
      <xdr:row>41</xdr:row>
      <xdr:rowOff>111125</xdr:rowOff>
    </xdr:from>
    <xdr:to>
      <xdr:col>9</xdr:col>
      <xdr:colOff>165100</xdr:colOff>
      <xdr:row>49</xdr:row>
      <xdr:rowOff>12700</xdr:rowOff>
    </xdr:to>
    <xdr:graphicFrame macro="">
      <xdr:nvGraphicFramePr>
        <xdr:cNvPr id="5" name="Chart 4">
          <a:extLst>
            <a:ext uri="{FF2B5EF4-FFF2-40B4-BE49-F238E27FC236}">
              <a16:creationId xmlns:a16="http://schemas.microsoft.com/office/drawing/2014/main" id="{2189766D-07DA-CA5F-A7A5-39536B4AB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241301</xdr:colOff>
      <xdr:row>30</xdr:row>
      <xdr:rowOff>165100</xdr:rowOff>
    </xdr:from>
    <xdr:to>
      <xdr:col>10</xdr:col>
      <xdr:colOff>355601</xdr:colOff>
      <xdr:row>40</xdr:row>
      <xdr:rowOff>31750</xdr:rowOff>
    </xdr:to>
    <xdr:graphicFrame macro="">
      <xdr:nvGraphicFramePr>
        <xdr:cNvPr id="10" name="Chart 9">
          <a:extLst>
            <a:ext uri="{FF2B5EF4-FFF2-40B4-BE49-F238E27FC236}">
              <a16:creationId xmlns:a16="http://schemas.microsoft.com/office/drawing/2014/main" id="{75A831CE-5E56-5DFA-5B07-AE02A213B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279399</xdr:colOff>
      <xdr:row>125</xdr:row>
      <xdr:rowOff>21896</xdr:rowOff>
    </xdr:from>
    <xdr:to>
      <xdr:col>10</xdr:col>
      <xdr:colOff>510919</xdr:colOff>
      <xdr:row>135</xdr:row>
      <xdr:rowOff>131378</xdr:rowOff>
    </xdr:to>
    <xdr:graphicFrame macro="">
      <xdr:nvGraphicFramePr>
        <xdr:cNvPr id="4" name="Chart 3">
          <a:extLst>
            <a:ext uri="{FF2B5EF4-FFF2-40B4-BE49-F238E27FC236}">
              <a16:creationId xmlns:a16="http://schemas.microsoft.com/office/drawing/2014/main" id="{5B08CEF8-28DD-8D7D-943A-ECD39C78C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180975</xdr:colOff>
      <xdr:row>49</xdr:row>
      <xdr:rowOff>136525</xdr:rowOff>
    </xdr:from>
    <xdr:to>
      <xdr:col>9</xdr:col>
      <xdr:colOff>374650</xdr:colOff>
      <xdr:row>58</xdr:row>
      <xdr:rowOff>19050</xdr:rowOff>
    </xdr:to>
    <xdr:graphicFrame macro="">
      <xdr:nvGraphicFramePr>
        <xdr:cNvPr id="15" name="Chart 14">
          <a:extLst>
            <a:ext uri="{FF2B5EF4-FFF2-40B4-BE49-F238E27FC236}">
              <a16:creationId xmlns:a16="http://schemas.microsoft.com/office/drawing/2014/main" id="{4B571A49-AAD2-0510-33AA-28DF2FAC0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226264</xdr:colOff>
      <xdr:row>94</xdr:row>
      <xdr:rowOff>80286</xdr:rowOff>
    </xdr:from>
    <xdr:to>
      <xdr:col>11</xdr:col>
      <xdr:colOff>80287</xdr:colOff>
      <xdr:row>103</xdr:row>
      <xdr:rowOff>145976</xdr:rowOff>
    </xdr:to>
    <xdr:graphicFrame macro="">
      <xdr:nvGraphicFramePr>
        <xdr:cNvPr id="17" name="Chart 16">
          <a:extLst>
            <a:ext uri="{FF2B5EF4-FFF2-40B4-BE49-F238E27FC236}">
              <a16:creationId xmlns:a16="http://schemas.microsoft.com/office/drawing/2014/main" id="{CEDE3043-5EAE-4A14-A33C-CDD5742A8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561975</xdr:colOff>
      <xdr:row>80</xdr:row>
      <xdr:rowOff>79375</xdr:rowOff>
    </xdr:from>
    <xdr:to>
      <xdr:col>10</xdr:col>
      <xdr:colOff>514350</xdr:colOff>
      <xdr:row>93</xdr:row>
      <xdr:rowOff>50800</xdr:rowOff>
    </xdr:to>
    <xdr:graphicFrame macro="">
      <xdr:nvGraphicFramePr>
        <xdr:cNvPr id="19" name="Chart 18">
          <a:extLst>
            <a:ext uri="{FF2B5EF4-FFF2-40B4-BE49-F238E27FC236}">
              <a16:creationId xmlns:a16="http://schemas.microsoft.com/office/drawing/2014/main" id="{61DE6810-8717-C695-2FF0-B5CF47802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561975</xdr:colOff>
      <xdr:row>104</xdr:row>
      <xdr:rowOff>138679</xdr:rowOff>
    </xdr:from>
    <xdr:to>
      <xdr:col>11</xdr:col>
      <xdr:colOff>38100</xdr:colOff>
      <xdr:row>114</xdr:row>
      <xdr:rowOff>63500</xdr:rowOff>
    </xdr:to>
    <xdr:graphicFrame macro="">
      <xdr:nvGraphicFramePr>
        <xdr:cNvPr id="20" name="Chart 19">
          <a:extLst>
            <a:ext uri="{FF2B5EF4-FFF2-40B4-BE49-F238E27FC236}">
              <a16:creationId xmlns:a16="http://schemas.microsoft.com/office/drawing/2014/main" id="{612EA710-D79E-9C9C-18BF-62F1FA6A4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219075</xdr:colOff>
      <xdr:row>115</xdr:row>
      <xdr:rowOff>63500</xdr:rowOff>
    </xdr:from>
    <xdr:to>
      <xdr:col>9</xdr:col>
      <xdr:colOff>469900</xdr:colOff>
      <xdr:row>124</xdr:row>
      <xdr:rowOff>171450</xdr:rowOff>
    </xdr:to>
    <xdr:graphicFrame macro="">
      <xdr:nvGraphicFramePr>
        <xdr:cNvPr id="23" name="Chart 22">
          <a:extLst>
            <a:ext uri="{FF2B5EF4-FFF2-40B4-BE49-F238E27FC236}">
              <a16:creationId xmlns:a16="http://schemas.microsoft.com/office/drawing/2014/main" id="{96875DB4-4EE6-D097-C402-544C7D6F3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239403</xdr:colOff>
      <xdr:row>137</xdr:row>
      <xdr:rowOff>167873</xdr:rowOff>
    </xdr:from>
    <xdr:to>
      <xdr:col>11</xdr:col>
      <xdr:colOff>381000</xdr:colOff>
      <xdr:row>151</xdr:row>
      <xdr:rowOff>119846</xdr:rowOff>
    </xdr:to>
    <xdr:graphicFrame macro="">
      <xdr:nvGraphicFramePr>
        <xdr:cNvPr id="25" name="Chart 24">
          <a:extLst>
            <a:ext uri="{FF2B5EF4-FFF2-40B4-BE49-F238E27FC236}">
              <a16:creationId xmlns:a16="http://schemas.microsoft.com/office/drawing/2014/main" id="{B005F6B5-4571-C340-606C-8C181A0B6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173713</xdr:colOff>
      <xdr:row>16</xdr:row>
      <xdr:rowOff>65690</xdr:rowOff>
    </xdr:from>
    <xdr:to>
      <xdr:col>10</xdr:col>
      <xdr:colOff>578070</xdr:colOff>
      <xdr:row>27</xdr:row>
      <xdr:rowOff>105250</xdr:rowOff>
    </xdr:to>
    <xdr:graphicFrame macro="">
      <xdr:nvGraphicFramePr>
        <xdr:cNvPr id="3" name="Chart 2">
          <a:extLst>
            <a:ext uri="{FF2B5EF4-FFF2-40B4-BE49-F238E27FC236}">
              <a16:creationId xmlns:a16="http://schemas.microsoft.com/office/drawing/2014/main" id="{CE6DD6C5-2C02-A3B3-8D5C-4F5B0B635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481279</xdr:colOff>
      <xdr:row>37</xdr:row>
      <xdr:rowOff>74706</xdr:rowOff>
    </xdr:from>
    <xdr:to>
      <xdr:col>6</xdr:col>
      <xdr:colOff>261471</xdr:colOff>
      <xdr:row>71</xdr:row>
      <xdr:rowOff>41665</xdr:rowOff>
    </xdr:to>
    <xdr:sp macro="" textlink="">
      <xdr:nvSpPr>
        <xdr:cNvPr id="39" name="Rectangle: Rounded Corners 38">
          <a:extLst>
            <a:ext uri="{FF2B5EF4-FFF2-40B4-BE49-F238E27FC236}">
              <a16:creationId xmlns:a16="http://schemas.microsoft.com/office/drawing/2014/main" id="{A75A2F39-C80A-A913-FF70-8AB881E7B3CA}"/>
            </a:ext>
          </a:extLst>
        </xdr:cNvPr>
        <xdr:cNvSpPr/>
      </xdr:nvSpPr>
      <xdr:spPr>
        <a:xfrm>
          <a:off x="481279" y="6985000"/>
          <a:ext cx="3478133" cy="6316959"/>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280148</xdr:colOff>
      <xdr:row>37</xdr:row>
      <xdr:rowOff>48847</xdr:rowOff>
    </xdr:from>
    <xdr:to>
      <xdr:col>12</xdr:col>
      <xdr:colOff>56927</xdr:colOff>
      <xdr:row>71</xdr:row>
      <xdr:rowOff>17351</xdr:rowOff>
    </xdr:to>
    <xdr:sp macro="" textlink="">
      <xdr:nvSpPr>
        <xdr:cNvPr id="38" name="Rectangle: Rounded Corners 37">
          <a:extLst>
            <a:ext uri="{FF2B5EF4-FFF2-40B4-BE49-F238E27FC236}">
              <a16:creationId xmlns:a16="http://schemas.microsoft.com/office/drawing/2014/main" id="{E92DB9A2-8F70-B5BF-DB82-8EB2768F5BB7}"/>
            </a:ext>
          </a:extLst>
        </xdr:cNvPr>
        <xdr:cNvSpPr/>
      </xdr:nvSpPr>
      <xdr:spPr>
        <a:xfrm>
          <a:off x="3978089" y="6959141"/>
          <a:ext cx="3474720" cy="6318504"/>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268654</xdr:colOff>
      <xdr:row>38</xdr:row>
      <xdr:rowOff>122116</xdr:rowOff>
    </xdr:from>
    <xdr:to>
      <xdr:col>12</xdr:col>
      <xdr:colOff>-1</xdr:colOff>
      <xdr:row>69</xdr:row>
      <xdr:rowOff>146539</xdr:rowOff>
    </xdr:to>
    <xdr:graphicFrame macro="">
      <xdr:nvGraphicFramePr>
        <xdr:cNvPr id="7" name="Chart 6">
          <a:extLst>
            <a:ext uri="{FF2B5EF4-FFF2-40B4-BE49-F238E27FC236}">
              <a16:creationId xmlns:a16="http://schemas.microsoft.com/office/drawing/2014/main" id="{C989B519-3C13-4479-ACF8-E8A71217F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237048</xdr:colOff>
      <xdr:row>37</xdr:row>
      <xdr:rowOff>130735</xdr:rowOff>
    </xdr:from>
    <xdr:to>
      <xdr:col>18</xdr:col>
      <xdr:colOff>13826</xdr:colOff>
      <xdr:row>71</xdr:row>
      <xdr:rowOff>99239</xdr:rowOff>
    </xdr:to>
    <xdr:sp macro="" textlink="">
      <xdr:nvSpPr>
        <xdr:cNvPr id="36" name="Rectangle: Rounded Corners 35">
          <a:extLst>
            <a:ext uri="{FF2B5EF4-FFF2-40B4-BE49-F238E27FC236}">
              <a16:creationId xmlns:a16="http://schemas.microsoft.com/office/drawing/2014/main" id="{1790DA35-4577-82C8-071E-6C6F47A52EEA}"/>
            </a:ext>
          </a:extLst>
        </xdr:cNvPr>
        <xdr:cNvSpPr/>
      </xdr:nvSpPr>
      <xdr:spPr>
        <a:xfrm>
          <a:off x="7632930" y="7041029"/>
          <a:ext cx="3474720" cy="6318504"/>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104875</xdr:colOff>
      <xdr:row>55</xdr:row>
      <xdr:rowOff>22985</xdr:rowOff>
    </xdr:from>
    <xdr:to>
      <xdr:col>24</xdr:col>
      <xdr:colOff>567454</xdr:colOff>
      <xdr:row>71</xdr:row>
      <xdr:rowOff>161998</xdr:rowOff>
    </xdr:to>
    <xdr:sp macro="" textlink="">
      <xdr:nvSpPr>
        <xdr:cNvPr id="33" name="Rectangle: Rounded Corners 32">
          <a:extLst>
            <a:ext uri="{FF2B5EF4-FFF2-40B4-BE49-F238E27FC236}">
              <a16:creationId xmlns:a16="http://schemas.microsoft.com/office/drawing/2014/main" id="{B7390EAF-616A-1579-8DE8-8545A02DE08D}"/>
            </a:ext>
          </a:extLst>
        </xdr:cNvPr>
        <xdr:cNvSpPr/>
      </xdr:nvSpPr>
      <xdr:spPr>
        <a:xfrm>
          <a:off x="11198699" y="10295044"/>
          <a:ext cx="4160520" cy="3127248"/>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113492</xdr:colOff>
      <xdr:row>37</xdr:row>
      <xdr:rowOff>71833</xdr:rowOff>
    </xdr:from>
    <xdr:to>
      <xdr:col>24</xdr:col>
      <xdr:colOff>576071</xdr:colOff>
      <xdr:row>54</xdr:row>
      <xdr:rowOff>24081</xdr:rowOff>
    </xdr:to>
    <xdr:sp macro="" textlink="">
      <xdr:nvSpPr>
        <xdr:cNvPr id="32" name="Rectangle: Rounded Corners 31">
          <a:extLst>
            <a:ext uri="{FF2B5EF4-FFF2-40B4-BE49-F238E27FC236}">
              <a16:creationId xmlns:a16="http://schemas.microsoft.com/office/drawing/2014/main" id="{DF486308-56AE-DDD9-A366-FD11828743C3}"/>
            </a:ext>
          </a:extLst>
        </xdr:cNvPr>
        <xdr:cNvSpPr/>
      </xdr:nvSpPr>
      <xdr:spPr>
        <a:xfrm>
          <a:off x="11207316" y="6982127"/>
          <a:ext cx="4160520" cy="3127248"/>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274401</xdr:colOff>
      <xdr:row>55</xdr:row>
      <xdr:rowOff>4309</xdr:rowOff>
    </xdr:from>
    <xdr:to>
      <xdr:col>32</xdr:col>
      <xdr:colOff>5746</xdr:colOff>
      <xdr:row>72</xdr:row>
      <xdr:rowOff>93382</xdr:rowOff>
    </xdr:to>
    <xdr:sp macro="" textlink="">
      <xdr:nvSpPr>
        <xdr:cNvPr id="30" name="Rectangle: Rounded Corners 29">
          <a:extLst>
            <a:ext uri="{FF2B5EF4-FFF2-40B4-BE49-F238E27FC236}">
              <a16:creationId xmlns:a16="http://schemas.microsoft.com/office/drawing/2014/main" id="{C5C9A5D8-735F-78D1-4DA1-31226A943FBA}"/>
            </a:ext>
          </a:extLst>
        </xdr:cNvPr>
        <xdr:cNvSpPr/>
      </xdr:nvSpPr>
      <xdr:spPr>
        <a:xfrm>
          <a:off x="15682489" y="10276368"/>
          <a:ext cx="4045610" cy="3264073"/>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255725</xdr:colOff>
      <xdr:row>37</xdr:row>
      <xdr:rowOff>56030</xdr:rowOff>
    </xdr:from>
    <xdr:to>
      <xdr:col>32</xdr:col>
      <xdr:colOff>101980</xdr:colOff>
      <xdr:row>54</xdr:row>
      <xdr:rowOff>10335</xdr:rowOff>
    </xdr:to>
    <xdr:sp macro="" textlink="">
      <xdr:nvSpPr>
        <xdr:cNvPr id="29" name="Rectangle: Rounded Corners 28">
          <a:extLst>
            <a:ext uri="{FF2B5EF4-FFF2-40B4-BE49-F238E27FC236}">
              <a16:creationId xmlns:a16="http://schemas.microsoft.com/office/drawing/2014/main" id="{EBB3EA80-64E3-A7F0-CBC3-AF4BB2890BF3}"/>
            </a:ext>
          </a:extLst>
        </xdr:cNvPr>
        <xdr:cNvSpPr/>
      </xdr:nvSpPr>
      <xdr:spPr>
        <a:xfrm>
          <a:off x="15663813" y="6966324"/>
          <a:ext cx="4160520" cy="3129305"/>
        </a:xfrm>
        <a:prstGeom prst="roundRect">
          <a:avLst>
            <a:gd name="adj" fmla="val 2171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234173</xdr:colOff>
      <xdr:row>37</xdr:row>
      <xdr:rowOff>117805</xdr:rowOff>
    </xdr:from>
    <xdr:to>
      <xdr:col>37</xdr:col>
      <xdr:colOff>160904</xdr:colOff>
      <xdr:row>72</xdr:row>
      <xdr:rowOff>149412</xdr:rowOff>
    </xdr:to>
    <xdr:sp macro="" textlink="">
      <xdr:nvSpPr>
        <xdr:cNvPr id="28" name="Rectangle: Rounded Corners 27">
          <a:extLst>
            <a:ext uri="{FF2B5EF4-FFF2-40B4-BE49-F238E27FC236}">
              <a16:creationId xmlns:a16="http://schemas.microsoft.com/office/drawing/2014/main" id="{8629B1C3-7FCA-3E7F-BD84-569264DBEC48}"/>
            </a:ext>
          </a:extLst>
        </xdr:cNvPr>
        <xdr:cNvSpPr/>
      </xdr:nvSpPr>
      <xdr:spPr>
        <a:xfrm>
          <a:off x="19956526" y="7028099"/>
          <a:ext cx="3008349" cy="6568372"/>
        </a:xfrm>
        <a:prstGeom prst="roundRect">
          <a:avLst>
            <a:gd name="adj" fmla="val 12321"/>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314626</xdr:colOff>
      <xdr:row>25</xdr:row>
      <xdr:rowOff>40227</xdr:rowOff>
    </xdr:from>
    <xdr:to>
      <xdr:col>45</xdr:col>
      <xdr:colOff>363471</xdr:colOff>
      <xdr:row>73</xdr:row>
      <xdr:rowOff>153723</xdr:rowOff>
    </xdr:to>
    <xdr:sp macro="" textlink="">
      <xdr:nvSpPr>
        <xdr:cNvPr id="27" name="Rectangle: Rounded Corners 26">
          <a:extLst>
            <a:ext uri="{FF2B5EF4-FFF2-40B4-BE49-F238E27FC236}">
              <a16:creationId xmlns:a16="http://schemas.microsoft.com/office/drawing/2014/main" id="{8650EDE8-A5EE-2C74-DAF2-7E8C38F04D9D}"/>
            </a:ext>
          </a:extLst>
        </xdr:cNvPr>
        <xdr:cNvSpPr/>
      </xdr:nvSpPr>
      <xdr:spPr>
        <a:xfrm>
          <a:off x="23118597" y="4709345"/>
          <a:ext cx="4979433" cy="9078202"/>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213326</xdr:colOff>
      <xdr:row>19</xdr:row>
      <xdr:rowOff>182614</xdr:rowOff>
    </xdr:from>
    <xdr:to>
      <xdr:col>12</xdr:col>
      <xdr:colOff>466912</xdr:colOff>
      <xdr:row>36</xdr:row>
      <xdr:rowOff>34278</xdr:rowOff>
    </xdr:to>
    <xdr:sp macro="" textlink="">
      <xdr:nvSpPr>
        <xdr:cNvPr id="12" name="Rectangle: Rounded Corners 11">
          <a:extLst>
            <a:ext uri="{FF2B5EF4-FFF2-40B4-BE49-F238E27FC236}">
              <a16:creationId xmlns:a16="http://schemas.microsoft.com/office/drawing/2014/main" id="{86A29201-5B01-57E7-07AC-12A7B647F2BD}"/>
            </a:ext>
          </a:extLst>
        </xdr:cNvPr>
        <xdr:cNvSpPr/>
      </xdr:nvSpPr>
      <xdr:spPr>
        <a:xfrm>
          <a:off x="213326" y="3731143"/>
          <a:ext cx="7649468" cy="3026664"/>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25</xdr:col>
      <xdr:colOff>98860</xdr:colOff>
      <xdr:row>20</xdr:row>
      <xdr:rowOff>117040</xdr:rowOff>
    </xdr:from>
    <xdr:to>
      <xdr:col>37</xdr:col>
      <xdr:colOff>31128</xdr:colOff>
      <xdr:row>36</xdr:row>
      <xdr:rowOff>156551</xdr:rowOff>
    </xdr:to>
    <xdr:sp macro="" textlink="">
      <xdr:nvSpPr>
        <xdr:cNvPr id="11" name="Rectangle: Rounded Corners 10">
          <a:extLst>
            <a:ext uri="{FF2B5EF4-FFF2-40B4-BE49-F238E27FC236}">
              <a16:creationId xmlns:a16="http://schemas.microsoft.com/office/drawing/2014/main" id="{759A5972-2169-4213-BDAA-5515FD642209}"/>
            </a:ext>
          </a:extLst>
        </xdr:cNvPr>
        <xdr:cNvSpPr/>
      </xdr:nvSpPr>
      <xdr:spPr>
        <a:xfrm>
          <a:off x="15506948" y="3852334"/>
          <a:ext cx="7328151" cy="3027746"/>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70556</xdr:colOff>
      <xdr:row>21</xdr:row>
      <xdr:rowOff>112889</xdr:rowOff>
    </xdr:from>
    <xdr:to>
      <xdr:col>23</xdr:col>
      <xdr:colOff>324555</xdr:colOff>
      <xdr:row>36</xdr:row>
      <xdr:rowOff>42333</xdr:rowOff>
    </xdr:to>
    <xdr:sp macro="" textlink="">
      <xdr:nvSpPr>
        <xdr:cNvPr id="8" name="Rectangle: Rounded Corners 7">
          <a:extLst>
            <a:ext uri="{FF2B5EF4-FFF2-40B4-BE49-F238E27FC236}">
              <a16:creationId xmlns:a16="http://schemas.microsoft.com/office/drawing/2014/main" id="{E06C7E57-B532-7602-A84B-9260B1C5CB99}"/>
            </a:ext>
          </a:extLst>
        </xdr:cNvPr>
        <xdr:cNvSpPr/>
      </xdr:nvSpPr>
      <xdr:spPr>
        <a:xfrm>
          <a:off x="7351889" y="3965222"/>
          <a:ext cx="6928555" cy="2681111"/>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594326</xdr:colOff>
      <xdr:row>20</xdr:row>
      <xdr:rowOff>75952</xdr:rowOff>
    </xdr:from>
    <xdr:to>
      <xdr:col>24</xdr:col>
      <xdr:colOff>522787</xdr:colOff>
      <xdr:row>36</xdr:row>
      <xdr:rowOff>114381</xdr:rowOff>
    </xdr:to>
    <xdr:sp macro="" textlink="">
      <xdr:nvSpPr>
        <xdr:cNvPr id="6" name="Rectangle: Rounded Corners 5">
          <a:extLst>
            <a:ext uri="{FF2B5EF4-FFF2-40B4-BE49-F238E27FC236}">
              <a16:creationId xmlns:a16="http://schemas.microsoft.com/office/drawing/2014/main" id="{4BCCF5E6-561B-B1B4-1B41-F99ACF8EDB71}"/>
            </a:ext>
          </a:extLst>
        </xdr:cNvPr>
        <xdr:cNvSpPr/>
      </xdr:nvSpPr>
      <xdr:spPr>
        <a:xfrm>
          <a:off x="7990208" y="3811246"/>
          <a:ext cx="7324344" cy="3026664"/>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467327</xdr:colOff>
      <xdr:row>10</xdr:row>
      <xdr:rowOff>113305</xdr:rowOff>
    </xdr:from>
    <xdr:to>
      <xdr:col>11</xdr:col>
      <xdr:colOff>95919</xdr:colOff>
      <xdr:row>19</xdr:row>
      <xdr:rowOff>28638</xdr:rowOff>
    </xdr:to>
    <xdr:sp macro="" textlink="">
      <xdr:nvSpPr>
        <xdr:cNvPr id="3" name="Rectangle: Rounded Corners 2">
          <a:extLst>
            <a:ext uri="{FF2B5EF4-FFF2-40B4-BE49-F238E27FC236}">
              <a16:creationId xmlns:a16="http://schemas.microsoft.com/office/drawing/2014/main" id="{EF70C29F-0DC3-C70F-7229-53F9D9786D4B}"/>
            </a:ext>
          </a:extLst>
        </xdr:cNvPr>
        <xdr:cNvSpPr/>
      </xdr:nvSpPr>
      <xdr:spPr>
        <a:xfrm>
          <a:off x="1699974" y="1980952"/>
          <a:ext cx="5175504" cy="159621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173485</xdr:colOff>
      <xdr:row>11</xdr:row>
      <xdr:rowOff>417</xdr:rowOff>
    </xdr:from>
    <xdr:to>
      <xdr:col>10</xdr:col>
      <xdr:colOff>300484</xdr:colOff>
      <xdr:row>17</xdr:row>
      <xdr:rowOff>144847</xdr:rowOff>
    </xdr:to>
    <xdr:sp macro="" textlink="">
      <xdr:nvSpPr>
        <xdr:cNvPr id="24" name="Rectangle 23">
          <a:extLst>
            <a:ext uri="{FF2B5EF4-FFF2-40B4-BE49-F238E27FC236}">
              <a16:creationId xmlns:a16="http://schemas.microsoft.com/office/drawing/2014/main" id="{2F470DE4-1BA4-4C25-B50B-9B7CE2057315}"/>
            </a:ext>
          </a:extLst>
        </xdr:cNvPr>
        <xdr:cNvSpPr/>
      </xdr:nvSpPr>
      <xdr:spPr>
        <a:xfrm>
          <a:off x="2022456" y="2054829"/>
          <a:ext cx="4441263" cy="12650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a:solidFill>
                <a:schemeClr val="tx1"/>
              </a:solidFill>
              <a:latin typeface="Arial Black" panose="020B0A04020102020204" pitchFamily="34" charset="0"/>
            </a:rPr>
            <a:t>AVERAGE</a:t>
          </a:r>
          <a:r>
            <a:rPr lang="en-US" sz="1800" b="0" baseline="0">
              <a:solidFill>
                <a:schemeClr val="tx1"/>
              </a:solidFill>
              <a:latin typeface="Arial Black" panose="020B0A04020102020204" pitchFamily="34" charset="0"/>
            </a:rPr>
            <a:t> AGE OF PASSENGERS</a:t>
          </a:r>
          <a:endParaRPr lang="en-US" sz="1800" b="0">
            <a:solidFill>
              <a:schemeClr val="tx1"/>
            </a:solidFill>
            <a:latin typeface="Arial Black" panose="020B0A04020102020204" pitchFamily="34" charset="0"/>
          </a:endParaRPr>
        </a:p>
        <a:p>
          <a:pPr algn="ctr"/>
          <a:endParaRPr lang="en-US" sz="1100" b="1">
            <a:solidFill>
              <a:schemeClr val="tx1"/>
            </a:solidFill>
            <a:latin typeface="+mn-lt"/>
          </a:endParaRPr>
        </a:p>
        <a:p>
          <a:pPr algn="ctr"/>
          <a:endParaRPr lang="en-US" sz="1100" b="1">
            <a:latin typeface="+mn-lt"/>
          </a:endParaRPr>
        </a:p>
      </xdr:txBody>
    </xdr:sp>
    <xdr:clientData/>
  </xdr:twoCellAnchor>
  <xdr:twoCellAnchor>
    <xdr:from>
      <xdr:col>33</xdr:col>
      <xdr:colOff>542033</xdr:colOff>
      <xdr:row>11</xdr:row>
      <xdr:rowOff>61841</xdr:rowOff>
    </xdr:from>
    <xdr:to>
      <xdr:col>42</xdr:col>
      <xdr:colOff>410883</xdr:colOff>
      <xdr:row>19</xdr:row>
      <xdr:rowOff>177068</xdr:rowOff>
    </xdr:to>
    <xdr:sp macro="" textlink="">
      <xdr:nvSpPr>
        <xdr:cNvPr id="26" name="Rectangle: Rounded Corners 25">
          <a:extLst>
            <a:ext uri="{FF2B5EF4-FFF2-40B4-BE49-F238E27FC236}">
              <a16:creationId xmlns:a16="http://schemas.microsoft.com/office/drawing/2014/main" id="{E6644D58-E4E5-B039-37A9-AAF9020C8E7C}"/>
            </a:ext>
          </a:extLst>
        </xdr:cNvPr>
        <xdr:cNvSpPr/>
      </xdr:nvSpPr>
      <xdr:spPr>
        <a:xfrm>
          <a:off x="20880709" y="2116253"/>
          <a:ext cx="5415762" cy="160934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PASSENGERS THAT SURVIVED</a:t>
          </a:r>
        </a:p>
      </xdr:txBody>
    </xdr:sp>
    <xdr:clientData/>
  </xdr:twoCellAnchor>
  <xdr:twoCellAnchor>
    <xdr:from>
      <xdr:col>12</xdr:col>
      <xdr:colOff>235739</xdr:colOff>
      <xdr:row>10</xdr:row>
      <xdr:rowOff>183029</xdr:rowOff>
    </xdr:from>
    <xdr:to>
      <xdr:col>20</xdr:col>
      <xdr:colOff>475627</xdr:colOff>
      <xdr:row>19</xdr:row>
      <xdr:rowOff>112473</xdr:rowOff>
    </xdr:to>
    <xdr:sp macro="" textlink="">
      <xdr:nvSpPr>
        <xdr:cNvPr id="10" name="Rectangle: Rounded Corners 9">
          <a:extLst>
            <a:ext uri="{FF2B5EF4-FFF2-40B4-BE49-F238E27FC236}">
              <a16:creationId xmlns:a16="http://schemas.microsoft.com/office/drawing/2014/main" id="{201244B9-238C-2B07-48A2-634B7D6F8616}"/>
            </a:ext>
          </a:extLst>
        </xdr:cNvPr>
        <xdr:cNvSpPr/>
      </xdr:nvSpPr>
      <xdr:spPr>
        <a:xfrm>
          <a:off x="7631621" y="2050676"/>
          <a:ext cx="5170477" cy="161032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21526</xdr:rowOff>
    </xdr:from>
    <xdr:to>
      <xdr:col>2</xdr:col>
      <xdr:colOff>398220</xdr:colOff>
      <xdr:row>8</xdr:row>
      <xdr:rowOff>118391</xdr:rowOff>
    </xdr:to>
    <xdr:pic>
      <xdr:nvPicPr>
        <xdr:cNvPr id="45" name="Picture 44">
          <a:extLst>
            <a:ext uri="{FF2B5EF4-FFF2-40B4-BE49-F238E27FC236}">
              <a16:creationId xmlns:a16="http://schemas.microsoft.com/office/drawing/2014/main" id="{E37FC873-398C-8081-E978-9380355F1D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526"/>
          <a:ext cx="1625169" cy="1560594"/>
        </a:xfrm>
        <a:prstGeom prst="rect">
          <a:avLst/>
        </a:prstGeom>
      </xdr:spPr>
    </xdr:pic>
    <xdr:clientData/>
  </xdr:twoCellAnchor>
  <xdr:twoCellAnchor>
    <xdr:from>
      <xdr:col>2</xdr:col>
      <xdr:colOff>419745</xdr:colOff>
      <xdr:row>0</xdr:row>
      <xdr:rowOff>57149</xdr:rowOff>
    </xdr:from>
    <xdr:to>
      <xdr:col>39</xdr:col>
      <xdr:colOff>225777</xdr:colOff>
      <xdr:row>4</xdr:row>
      <xdr:rowOff>14110</xdr:rowOff>
    </xdr:to>
    <xdr:sp macro="" textlink="">
      <xdr:nvSpPr>
        <xdr:cNvPr id="4" name="Rectangle 3">
          <a:extLst>
            <a:ext uri="{FF2B5EF4-FFF2-40B4-BE49-F238E27FC236}">
              <a16:creationId xmlns:a16="http://schemas.microsoft.com/office/drawing/2014/main" id="{38E71363-10F8-EFDB-245F-FE7A1D492B56}"/>
            </a:ext>
          </a:extLst>
        </xdr:cNvPr>
        <xdr:cNvSpPr/>
      </xdr:nvSpPr>
      <xdr:spPr>
        <a:xfrm>
          <a:off x="1633301" y="57149"/>
          <a:ext cx="22256809" cy="690739"/>
        </a:xfrm>
        <a:prstGeom prst="rect">
          <a:avLst/>
        </a:prstGeom>
        <a:solidFill>
          <a:schemeClr val="tx1"/>
        </a:solidFill>
        <a:ln>
          <a:noFill/>
        </a:ln>
        <a:effectLst>
          <a:glow rad="635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latin typeface="Arial Black" panose="020B0A04020102020204" pitchFamily="34" charset="0"/>
            </a:rPr>
            <a:t>TITANIC TAILORED ANALYSIS</a:t>
          </a:r>
        </a:p>
      </xdr:txBody>
    </xdr:sp>
    <xdr:clientData/>
  </xdr:twoCellAnchor>
  <xdr:oneCellAnchor>
    <xdr:from>
      <xdr:col>5</xdr:col>
      <xdr:colOff>516609</xdr:colOff>
      <xdr:row>9</xdr:row>
      <xdr:rowOff>27306</xdr:rowOff>
    </xdr:from>
    <xdr:ext cx="1854200" cy="1353127"/>
    <xdr:sp macro="" textlink="'ALL CHARTS'!C4">
      <xdr:nvSpPr>
        <xdr:cNvPr id="14" name="TextBox 13">
          <a:extLst>
            <a:ext uri="{FF2B5EF4-FFF2-40B4-BE49-F238E27FC236}">
              <a16:creationId xmlns:a16="http://schemas.microsoft.com/office/drawing/2014/main" id="{B003C500-9BE1-6DF5-617B-46909EC984D2}"/>
            </a:ext>
          </a:extLst>
        </xdr:cNvPr>
        <xdr:cNvSpPr txBox="1"/>
      </xdr:nvSpPr>
      <xdr:spPr>
        <a:xfrm flipV="1">
          <a:off x="3553566" y="1642415"/>
          <a:ext cx="1854200" cy="1353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C5EF4BC-3CDC-44ED-804A-F4F2F1319642}" type="TxLink">
            <a:rPr lang="en-US" sz="2000" b="0" i="0" u="none" strike="noStrike">
              <a:solidFill>
                <a:schemeClr val="tx1"/>
              </a:solidFill>
              <a:latin typeface="Arial Black" panose="020B0A04020102020204" pitchFamily="34" charset="0"/>
              <a:ea typeface="Calibri"/>
              <a:cs typeface="Calibri"/>
            </a:rPr>
            <a:pPr algn="ctr"/>
            <a:t>144</a:t>
          </a:fld>
          <a:endParaRPr lang="en-US" sz="2000">
            <a:solidFill>
              <a:schemeClr val="tx1"/>
            </a:solidFill>
            <a:latin typeface="Arial Black" panose="020B0A04020102020204" pitchFamily="34" charset="0"/>
          </a:endParaRPr>
        </a:p>
      </xdr:txBody>
    </xdr:sp>
    <xdr:clientData/>
  </xdr:oneCellAnchor>
  <xdr:twoCellAnchor>
    <xdr:from>
      <xdr:col>12</xdr:col>
      <xdr:colOff>352778</xdr:colOff>
      <xdr:row>12</xdr:row>
      <xdr:rowOff>9546</xdr:rowOff>
    </xdr:from>
    <xdr:to>
      <xdr:col>20</xdr:col>
      <xdr:colOff>409222</xdr:colOff>
      <xdr:row>19</xdr:row>
      <xdr:rowOff>136546</xdr:rowOff>
    </xdr:to>
    <xdr:sp macro="" textlink="">
      <xdr:nvSpPr>
        <xdr:cNvPr id="16" name="Rectangle 15">
          <a:extLst>
            <a:ext uri="{FF2B5EF4-FFF2-40B4-BE49-F238E27FC236}">
              <a16:creationId xmlns:a16="http://schemas.microsoft.com/office/drawing/2014/main" id="{495422A7-61EF-458C-A96B-0FB37F1C71C7}"/>
            </a:ext>
          </a:extLst>
        </xdr:cNvPr>
        <xdr:cNvSpPr/>
      </xdr:nvSpPr>
      <xdr:spPr>
        <a:xfrm>
          <a:off x="7748660" y="2250722"/>
          <a:ext cx="4987033" cy="143435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latin typeface="Arial Black" panose="020B0A04020102020204" pitchFamily="34" charset="0"/>
            </a:rPr>
            <a:t>AVERAGE PRICE</a:t>
          </a:r>
          <a:r>
            <a:rPr lang="en-US" sz="2400" b="1" baseline="0">
              <a:solidFill>
                <a:schemeClr val="tx1"/>
              </a:solidFill>
              <a:latin typeface="Arial Black" panose="020B0A04020102020204" pitchFamily="34" charset="0"/>
            </a:rPr>
            <a:t> OF FARE</a:t>
          </a:r>
          <a:endParaRPr lang="en-US" sz="2400" b="1">
            <a:solidFill>
              <a:schemeClr val="tx1"/>
            </a:solidFill>
            <a:latin typeface="Arial Black" panose="020B0A04020102020204" pitchFamily="34" charset="0"/>
          </a:endParaRPr>
        </a:p>
        <a:p>
          <a:pPr algn="ctr"/>
          <a:endParaRPr lang="en-US" sz="2400" b="1">
            <a:solidFill>
              <a:schemeClr val="tx1"/>
            </a:solidFill>
            <a:latin typeface="Arial Black" panose="020B0A04020102020204" pitchFamily="34" charset="0"/>
          </a:endParaRPr>
        </a:p>
        <a:p>
          <a:pPr algn="ctr"/>
          <a:endParaRPr lang="en-US" sz="1100" b="1">
            <a:latin typeface="+mn-lt"/>
          </a:endParaRPr>
        </a:p>
      </xdr:txBody>
    </xdr:sp>
    <xdr:clientData/>
  </xdr:twoCellAnchor>
  <xdr:twoCellAnchor>
    <xdr:from>
      <xdr:col>36</xdr:col>
      <xdr:colOff>43197</xdr:colOff>
      <xdr:row>15</xdr:row>
      <xdr:rowOff>117454</xdr:rowOff>
    </xdr:from>
    <xdr:to>
      <xdr:col>40</xdr:col>
      <xdr:colOff>315115</xdr:colOff>
      <xdr:row>19</xdr:row>
      <xdr:rowOff>131565</xdr:rowOff>
    </xdr:to>
    <xdr:sp macro="" textlink="'ALL CHARTS'!D87">
      <xdr:nvSpPr>
        <xdr:cNvPr id="22" name="TextBox 21">
          <a:extLst>
            <a:ext uri="{FF2B5EF4-FFF2-40B4-BE49-F238E27FC236}">
              <a16:creationId xmlns:a16="http://schemas.microsoft.com/office/drawing/2014/main" id="{E0264DE7-BFAF-FA97-3569-B30CB139E940}"/>
            </a:ext>
          </a:extLst>
        </xdr:cNvPr>
        <xdr:cNvSpPr txBox="1"/>
      </xdr:nvSpPr>
      <xdr:spPr>
        <a:xfrm>
          <a:off x="22230844" y="2918925"/>
          <a:ext cx="2737212" cy="76116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05902DD3-53CB-4256-A574-9235D9FE2E37}" type="TxLink">
            <a:rPr lang="en-US" sz="4400" b="1"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152</a:t>
          </a:fld>
          <a:endParaRPr lang="en-US" sz="7200" b="1">
            <a:latin typeface="Arial Black" panose="020B0A04020102020204" pitchFamily="34" charset="0"/>
          </a:endParaRPr>
        </a:p>
      </xdr:txBody>
    </xdr:sp>
    <xdr:clientData/>
  </xdr:twoCellAnchor>
  <xdr:twoCellAnchor>
    <xdr:from>
      <xdr:col>13</xdr:col>
      <xdr:colOff>291351</xdr:colOff>
      <xdr:row>14</xdr:row>
      <xdr:rowOff>38602</xdr:rowOff>
    </xdr:from>
    <xdr:to>
      <xdr:col>19</xdr:col>
      <xdr:colOff>485587</xdr:colOff>
      <xdr:row>18</xdr:row>
      <xdr:rowOff>183032</xdr:rowOff>
    </xdr:to>
    <xdr:sp macro="" textlink="'total av,min,max'!H5">
      <xdr:nvSpPr>
        <xdr:cNvPr id="23" name="TextBox 22">
          <a:extLst>
            <a:ext uri="{FF2B5EF4-FFF2-40B4-BE49-F238E27FC236}">
              <a16:creationId xmlns:a16="http://schemas.microsoft.com/office/drawing/2014/main" id="{ED711E6E-173B-A664-76D4-833E78DD7110}"/>
            </a:ext>
          </a:extLst>
        </xdr:cNvPr>
        <xdr:cNvSpPr txBox="1"/>
      </xdr:nvSpPr>
      <xdr:spPr>
        <a:xfrm>
          <a:off x="8303557" y="2653308"/>
          <a:ext cx="3892177" cy="8914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E904D2-0649-43F0-85E9-269C914B0BC5}" type="TxLink">
            <a:rPr lang="en-US" sz="4000" b="0" i="0" u="none" strike="noStrike">
              <a:solidFill>
                <a:schemeClr val="tx1"/>
              </a:solidFill>
              <a:latin typeface="Arial Black" panose="020B0A04020102020204" pitchFamily="34" charset="0"/>
              <a:ea typeface="Calibri"/>
              <a:cs typeface="Calibri"/>
            </a:rPr>
            <a:pPr algn="ctr"/>
            <a:t> $35.63 </a:t>
          </a:fld>
          <a:endParaRPr lang="en-US" sz="4000">
            <a:solidFill>
              <a:schemeClr val="tx1"/>
            </a:solidFill>
            <a:latin typeface="Arial Black" panose="020B0A04020102020204" pitchFamily="34" charset="0"/>
          </a:endParaRPr>
        </a:p>
      </xdr:txBody>
    </xdr:sp>
    <xdr:clientData/>
  </xdr:twoCellAnchor>
  <xdr:twoCellAnchor>
    <xdr:from>
      <xdr:col>4</xdr:col>
      <xdr:colOff>269373</xdr:colOff>
      <xdr:row>14</xdr:row>
      <xdr:rowOff>6479</xdr:rowOff>
    </xdr:from>
    <xdr:to>
      <xdr:col>8</xdr:col>
      <xdr:colOff>221211</xdr:colOff>
      <xdr:row>19</xdr:row>
      <xdr:rowOff>9547</xdr:rowOff>
    </xdr:to>
    <xdr:sp macro="" textlink="'total av,min,max'!H8">
      <xdr:nvSpPr>
        <xdr:cNvPr id="25" name="TextBox 24">
          <a:extLst>
            <a:ext uri="{FF2B5EF4-FFF2-40B4-BE49-F238E27FC236}">
              <a16:creationId xmlns:a16="http://schemas.microsoft.com/office/drawing/2014/main" id="{CC6C3940-131D-13F5-705B-C237AA7B8802}"/>
            </a:ext>
          </a:extLst>
        </xdr:cNvPr>
        <xdr:cNvSpPr txBox="1"/>
      </xdr:nvSpPr>
      <xdr:spPr>
        <a:xfrm>
          <a:off x="2734667" y="2621185"/>
          <a:ext cx="2417132" cy="9368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959AB6-F8EB-40B7-A8C8-CB1D75A2D18E}" type="TxLink">
            <a:rPr lang="en-US" sz="4000" b="0" i="0" u="none" strike="noStrike">
              <a:solidFill>
                <a:srgbClr val="000000"/>
              </a:solidFill>
              <a:latin typeface="Arial Black" panose="020B0A04020102020204" pitchFamily="34" charset="0"/>
              <a:ea typeface="Calibri"/>
              <a:cs typeface="Calibri"/>
            </a:rPr>
            <a:pPr algn="ctr"/>
            <a:t>30.2</a:t>
          </a:fld>
          <a:endParaRPr lang="en-US" sz="4000">
            <a:latin typeface="Arial Black" panose="020B0A04020102020204" pitchFamily="34" charset="0"/>
          </a:endParaRPr>
        </a:p>
      </xdr:txBody>
    </xdr:sp>
    <xdr:clientData/>
  </xdr:twoCellAnchor>
  <xdr:twoCellAnchor>
    <xdr:from>
      <xdr:col>13</xdr:col>
      <xdr:colOff>261469</xdr:colOff>
      <xdr:row>21</xdr:row>
      <xdr:rowOff>84666</xdr:rowOff>
    </xdr:from>
    <xdr:to>
      <xdr:col>23</xdr:col>
      <xdr:colOff>547841</xdr:colOff>
      <xdr:row>35</xdr:row>
      <xdr:rowOff>0</xdr:rowOff>
    </xdr:to>
    <xdr:graphicFrame macro="">
      <xdr:nvGraphicFramePr>
        <xdr:cNvPr id="34" name="Chart 33">
          <a:extLst>
            <a:ext uri="{FF2B5EF4-FFF2-40B4-BE49-F238E27FC236}">
              <a16:creationId xmlns:a16="http://schemas.microsoft.com/office/drawing/2014/main" id="{240415E1-3233-411F-B1F3-7F4F5C738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242794</xdr:colOff>
      <xdr:row>20</xdr:row>
      <xdr:rowOff>168088</xdr:rowOff>
    </xdr:from>
    <xdr:to>
      <xdr:col>36</xdr:col>
      <xdr:colOff>560294</xdr:colOff>
      <xdr:row>36</xdr:row>
      <xdr:rowOff>70140</xdr:rowOff>
    </xdr:to>
    <xdr:graphicFrame macro="">
      <xdr:nvGraphicFramePr>
        <xdr:cNvPr id="2" name="Chart 1">
          <a:extLst>
            <a:ext uri="{FF2B5EF4-FFF2-40B4-BE49-F238E27FC236}">
              <a16:creationId xmlns:a16="http://schemas.microsoft.com/office/drawing/2014/main" id="{7EC3FB14-E4EF-4ADB-8268-0625FC1C5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219807</xdr:colOff>
      <xdr:row>39</xdr:row>
      <xdr:rowOff>24423</xdr:rowOff>
    </xdr:from>
    <xdr:to>
      <xdr:col>6</xdr:col>
      <xdr:colOff>18451</xdr:colOff>
      <xdr:row>68</xdr:row>
      <xdr:rowOff>24423</xdr:rowOff>
    </xdr:to>
    <xdr:graphicFrame macro="">
      <xdr:nvGraphicFramePr>
        <xdr:cNvPr id="5" name="Chart 4">
          <a:extLst>
            <a:ext uri="{FF2B5EF4-FFF2-40B4-BE49-F238E27FC236}">
              <a16:creationId xmlns:a16="http://schemas.microsoft.com/office/drawing/2014/main" id="{5AD496E8-939F-481B-96BD-41A515B46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38</xdr:row>
      <xdr:rowOff>122116</xdr:rowOff>
    </xdr:from>
    <xdr:to>
      <xdr:col>17</xdr:col>
      <xdr:colOff>24423</xdr:colOff>
      <xdr:row>68</xdr:row>
      <xdr:rowOff>122115</xdr:rowOff>
    </xdr:to>
    <xdr:graphicFrame macro="">
      <xdr:nvGraphicFramePr>
        <xdr:cNvPr id="9" name="Chart 8">
          <a:extLst>
            <a:ext uri="{FF2B5EF4-FFF2-40B4-BE49-F238E27FC236}">
              <a16:creationId xmlns:a16="http://schemas.microsoft.com/office/drawing/2014/main" id="{C25E79BC-A34B-4170-86C9-AA631EAEE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447662</xdr:colOff>
      <xdr:row>40</xdr:row>
      <xdr:rowOff>37353</xdr:rowOff>
    </xdr:from>
    <xdr:to>
      <xdr:col>24</xdr:col>
      <xdr:colOff>202568</xdr:colOff>
      <xdr:row>52</xdr:row>
      <xdr:rowOff>135044</xdr:rowOff>
    </xdr:to>
    <xdr:graphicFrame macro="">
      <xdr:nvGraphicFramePr>
        <xdr:cNvPr id="13" name="Chart 12">
          <a:extLst>
            <a:ext uri="{FF2B5EF4-FFF2-40B4-BE49-F238E27FC236}">
              <a16:creationId xmlns:a16="http://schemas.microsoft.com/office/drawing/2014/main" id="{854685CC-C1E5-4041-BF48-4945D67E9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303486</xdr:colOff>
      <xdr:row>55</xdr:row>
      <xdr:rowOff>96257</xdr:rowOff>
    </xdr:from>
    <xdr:to>
      <xdr:col>24</xdr:col>
      <xdr:colOff>61977</xdr:colOff>
      <xdr:row>68</xdr:row>
      <xdr:rowOff>9180</xdr:rowOff>
    </xdr:to>
    <xdr:graphicFrame macro="">
      <xdr:nvGraphicFramePr>
        <xdr:cNvPr id="18" name="Chart 17">
          <a:extLst>
            <a:ext uri="{FF2B5EF4-FFF2-40B4-BE49-F238E27FC236}">
              <a16:creationId xmlns:a16="http://schemas.microsoft.com/office/drawing/2014/main" id="{A4E0567B-D7E3-4DF1-8006-9CC1492FC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563168</xdr:colOff>
      <xdr:row>40</xdr:row>
      <xdr:rowOff>80453</xdr:rowOff>
    </xdr:from>
    <xdr:to>
      <xdr:col>31</xdr:col>
      <xdr:colOff>321659</xdr:colOff>
      <xdr:row>52</xdr:row>
      <xdr:rowOff>180140</xdr:rowOff>
    </xdr:to>
    <xdr:graphicFrame macro="">
      <xdr:nvGraphicFramePr>
        <xdr:cNvPr id="19" name="Chart 18">
          <a:extLst>
            <a:ext uri="{FF2B5EF4-FFF2-40B4-BE49-F238E27FC236}">
              <a16:creationId xmlns:a16="http://schemas.microsoft.com/office/drawing/2014/main" id="{D9FD18DD-E3BC-42CA-93F0-0D0582AB2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355397</xdr:colOff>
      <xdr:row>58</xdr:row>
      <xdr:rowOff>77578</xdr:rowOff>
    </xdr:from>
    <xdr:to>
      <xdr:col>31</xdr:col>
      <xdr:colOff>113888</xdr:colOff>
      <xdr:row>70</xdr:row>
      <xdr:rowOff>177266</xdr:rowOff>
    </xdr:to>
    <xdr:graphicFrame macro="">
      <xdr:nvGraphicFramePr>
        <xdr:cNvPr id="20" name="Chart 19">
          <a:extLst>
            <a:ext uri="{FF2B5EF4-FFF2-40B4-BE49-F238E27FC236}">
              <a16:creationId xmlns:a16="http://schemas.microsoft.com/office/drawing/2014/main" id="{7BB15A7F-7E27-4631-B06F-49E0FCBB7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32</xdr:col>
      <xdr:colOff>338505</xdr:colOff>
      <xdr:row>38</xdr:row>
      <xdr:rowOff>74707</xdr:rowOff>
    </xdr:from>
    <xdr:to>
      <xdr:col>37</xdr:col>
      <xdr:colOff>137919</xdr:colOff>
      <xdr:row>71</xdr:row>
      <xdr:rowOff>112060</xdr:rowOff>
    </xdr:to>
    <xdr:graphicFrame macro="">
      <xdr:nvGraphicFramePr>
        <xdr:cNvPr id="21" name="Chart 20">
          <a:extLst>
            <a:ext uri="{FF2B5EF4-FFF2-40B4-BE49-F238E27FC236}">
              <a16:creationId xmlns:a16="http://schemas.microsoft.com/office/drawing/2014/main" id="{E439D52C-7BA3-4ED4-B886-2FEEF8529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317500</xdr:colOff>
      <xdr:row>21</xdr:row>
      <xdr:rowOff>28224</xdr:rowOff>
    </xdr:from>
    <xdr:to>
      <xdr:col>11</xdr:col>
      <xdr:colOff>522940</xdr:colOff>
      <xdr:row>33</xdr:row>
      <xdr:rowOff>168089</xdr:rowOff>
    </xdr:to>
    <xdr:graphicFrame macro="">
      <xdr:nvGraphicFramePr>
        <xdr:cNvPr id="31" name="Chart 30">
          <a:extLst>
            <a:ext uri="{FF2B5EF4-FFF2-40B4-BE49-F238E27FC236}">
              <a16:creationId xmlns:a16="http://schemas.microsoft.com/office/drawing/2014/main" id="{7E8B094C-F948-49E2-8D61-D2717E607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537307</xdr:colOff>
      <xdr:row>26</xdr:row>
      <xdr:rowOff>178146</xdr:rowOff>
    </xdr:from>
    <xdr:to>
      <xdr:col>45</xdr:col>
      <xdr:colOff>189638</xdr:colOff>
      <xdr:row>73</xdr:row>
      <xdr:rowOff>15803</xdr:rowOff>
    </xdr:to>
    <xdr:graphicFrame macro="">
      <xdr:nvGraphicFramePr>
        <xdr:cNvPr id="35" name="Chart 34">
          <a:extLst>
            <a:ext uri="{FF2B5EF4-FFF2-40B4-BE49-F238E27FC236}">
              <a16:creationId xmlns:a16="http://schemas.microsoft.com/office/drawing/2014/main" id="{6C0D4220-3396-4214-AA74-CD28B1E03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xdr:col>
      <xdr:colOff>296333</xdr:colOff>
      <xdr:row>5</xdr:row>
      <xdr:rowOff>56444</xdr:rowOff>
    </xdr:from>
    <xdr:to>
      <xdr:col>21</xdr:col>
      <xdr:colOff>14111</xdr:colOff>
      <xdr:row>10</xdr:row>
      <xdr:rowOff>112889</xdr:rowOff>
    </xdr:to>
    <mc:AlternateContent xmlns:mc="http://schemas.openxmlformats.org/markup-compatibility/2006" xmlns:a14="http://schemas.microsoft.com/office/drawing/2010/main">
      <mc:Choice Requires="a14">
        <xdr:graphicFrame macro="">
          <xdr:nvGraphicFramePr>
            <xdr:cNvPr id="40" name="Sex">
              <a:extLst>
                <a:ext uri="{FF2B5EF4-FFF2-40B4-BE49-F238E27FC236}">
                  <a16:creationId xmlns:a16="http://schemas.microsoft.com/office/drawing/2014/main" id="{15F61AC3-3E39-5633-63D2-224663FE478D}"/>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6970889" y="973666"/>
              <a:ext cx="5785555" cy="973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578556</xdr:colOff>
      <xdr:row>5</xdr:row>
      <xdr:rowOff>70556</xdr:rowOff>
    </xdr:from>
    <xdr:to>
      <xdr:col>30</xdr:col>
      <xdr:colOff>381000</xdr:colOff>
      <xdr:row>11</xdr:row>
      <xdr:rowOff>70555</xdr:rowOff>
    </xdr:to>
    <mc:AlternateContent xmlns:mc="http://schemas.openxmlformats.org/markup-compatibility/2006" xmlns:a14="http://schemas.microsoft.com/office/drawing/2010/main">
      <mc:Choice Requires="a14">
        <xdr:graphicFrame macro="">
          <xdr:nvGraphicFramePr>
            <xdr:cNvPr id="41" name="AGEGROUP">
              <a:extLst>
                <a:ext uri="{FF2B5EF4-FFF2-40B4-BE49-F238E27FC236}">
                  <a16:creationId xmlns:a16="http://schemas.microsoft.com/office/drawing/2014/main" id="{2C3904A7-AC08-6E91-384E-5F7A5A38D9A8}"/>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3320889" y="987778"/>
              <a:ext cx="5263444" cy="1100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108594</xdr:colOff>
      <xdr:row>4</xdr:row>
      <xdr:rowOff>127001</xdr:rowOff>
    </xdr:from>
    <xdr:to>
      <xdr:col>42</xdr:col>
      <xdr:colOff>338666</xdr:colOff>
      <xdr:row>11</xdr:row>
      <xdr:rowOff>28223</xdr:rowOff>
    </xdr:to>
    <mc:AlternateContent xmlns:mc="http://schemas.openxmlformats.org/markup-compatibility/2006" xmlns:a14="http://schemas.microsoft.com/office/drawing/2010/main">
      <mc:Choice Requires="a14">
        <xdr:graphicFrame macro="">
          <xdr:nvGraphicFramePr>
            <xdr:cNvPr id="42" name="Embarked">
              <a:extLst>
                <a:ext uri="{FF2B5EF4-FFF2-40B4-BE49-F238E27FC236}">
                  <a16:creationId xmlns:a16="http://schemas.microsoft.com/office/drawing/2014/main" id="{1BCEC6A7-C3F5-0234-94DC-9052E07331C2}"/>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19525483" y="860779"/>
              <a:ext cx="6297850" cy="1185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76296</xdr:colOff>
      <xdr:row>0</xdr:row>
      <xdr:rowOff>141112</xdr:rowOff>
    </xdr:from>
    <xdr:to>
      <xdr:col>31</xdr:col>
      <xdr:colOff>248500</xdr:colOff>
      <xdr:row>3</xdr:row>
      <xdr:rowOff>119109</xdr:rowOff>
    </xdr:to>
    <xdr:pic>
      <xdr:nvPicPr>
        <xdr:cNvPr id="47" name="Picture 46">
          <a:extLst>
            <a:ext uri="{FF2B5EF4-FFF2-40B4-BE49-F238E27FC236}">
              <a16:creationId xmlns:a16="http://schemas.microsoft.com/office/drawing/2014/main" id="{7696AFCA-84F0-3330-44A6-DC0A7E18651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672852" y="141112"/>
          <a:ext cx="1385759" cy="528330"/>
        </a:xfrm>
        <a:prstGeom prst="rect">
          <a:avLst/>
        </a:prstGeom>
      </xdr:spPr>
    </xdr:pic>
    <xdr:clientData/>
  </xdr:twoCellAnchor>
  <xdr:twoCellAnchor editAs="oneCell">
    <xdr:from>
      <xdr:col>3</xdr:col>
      <xdr:colOff>84667</xdr:colOff>
      <xdr:row>5</xdr:row>
      <xdr:rowOff>126999</xdr:rowOff>
    </xdr:from>
    <xdr:to>
      <xdr:col>10</xdr:col>
      <xdr:colOff>564444</xdr:colOff>
      <xdr:row>9</xdr:row>
      <xdr:rowOff>112888</xdr:rowOff>
    </xdr:to>
    <mc:AlternateContent xmlns:mc="http://schemas.openxmlformats.org/markup-compatibility/2006" xmlns:a14="http://schemas.microsoft.com/office/drawing/2010/main">
      <mc:Choice Requires="a14">
        <xdr:graphicFrame macro="">
          <xdr:nvGraphicFramePr>
            <xdr:cNvPr id="48" name="Pclass">
              <a:extLst>
                <a:ext uri="{FF2B5EF4-FFF2-40B4-BE49-F238E27FC236}">
                  <a16:creationId xmlns:a16="http://schemas.microsoft.com/office/drawing/2014/main" id="{96260557-F81E-6827-7AAB-48A00B07FC80}"/>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1905000" y="1044221"/>
              <a:ext cx="4727222" cy="719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466911</xdr:colOff>
      <xdr:row>11</xdr:row>
      <xdr:rowOff>112058</xdr:rowOff>
    </xdr:from>
    <xdr:to>
      <xdr:col>31</xdr:col>
      <xdr:colOff>95504</xdr:colOff>
      <xdr:row>20</xdr:row>
      <xdr:rowOff>18675</xdr:rowOff>
    </xdr:to>
    <xdr:sp macro="" textlink="">
      <xdr:nvSpPr>
        <xdr:cNvPr id="15" name="Rectangle: Rounded Corners 14">
          <a:extLst>
            <a:ext uri="{FF2B5EF4-FFF2-40B4-BE49-F238E27FC236}">
              <a16:creationId xmlns:a16="http://schemas.microsoft.com/office/drawing/2014/main" id="{47465E7B-3D3E-45A2-B0DA-7C147C0A38CF}"/>
            </a:ext>
          </a:extLst>
        </xdr:cNvPr>
        <xdr:cNvSpPr/>
      </xdr:nvSpPr>
      <xdr:spPr>
        <a:xfrm>
          <a:off x="14026029" y="2166470"/>
          <a:ext cx="5175504" cy="158749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rPr>
            <a:t>TOTAL</a:t>
          </a:r>
          <a:r>
            <a:rPr lang="en-US" sz="3200" b="1" baseline="0">
              <a:solidFill>
                <a:schemeClr val="tx1"/>
              </a:solidFill>
            </a:rPr>
            <a:t> PASSENGER</a:t>
          </a:r>
          <a:endParaRPr lang="en-US" sz="2400" b="1">
            <a:solidFill>
              <a:schemeClr val="tx1"/>
            </a:solidFill>
          </a:endParaRPr>
        </a:p>
      </xdr:txBody>
    </xdr:sp>
    <xdr:clientData/>
  </xdr:twoCellAnchor>
  <xdr:twoCellAnchor>
    <xdr:from>
      <xdr:col>24</xdr:col>
      <xdr:colOff>354853</xdr:colOff>
      <xdr:row>14</xdr:row>
      <xdr:rowOff>168089</xdr:rowOff>
    </xdr:from>
    <xdr:to>
      <xdr:col>28</xdr:col>
      <xdr:colOff>429559</xdr:colOff>
      <xdr:row>19</xdr:row>
      <xdr:rowOff>130736</xdr:rowOff>
    </xdr:to>
    <xdr:sp macro="" textlink="'ALL CHARTS'!C4">
      <xdr:nvSpPr>
        <xdr:cNvPr id="37" name="TextBox 36">
          <a:extLst>
            <a:ext uri="{FF2B5EF4-FFF2-40B4-BE49-F238E27FC236}">
              <a16:creationId xmlns:a16="http://schemas.microsoft.com/office/drawing/2014/main" id="{F1C7F956-3662-77B5-E2DA-21E4EEABA9AB}"/>
            </a:ext>
          </a:extLst>
        </xdr:cNvPr>
        <xdr:cNvSpPr txBox="1"/>
      </xdr:nvSpPr>
      <xdr:spPr>
        <a:xfrm>
          <a:off x="15146618" y="2782795"/>
          <a:ext cx="2540000" cy="896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902CE9-AAB8-4583-8E1E-EBF845EB0C67}" type="TxLink">
            <a:rPr lang="en-US" sz="4800" b="0" i="0" u="none" strike="noStrike">
              <a:solidFill>
                <a:srgbClr val="000000"/>
              </a:solidFill>
              <a:latin typeface="Calibri"/>
              <a:ea typeface="Calibri"/>
              <a:cs typeface="Calibri"/>
            </a:rPr>
            <a:pPr algn="ctr"/>
            <a:t>144</a:t>
          </a:fld>
          <a:endParaRPr lang="en-US" sz="4800">
            <a:solidFill>
              <a:schemeClr val="tx1"/>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465666</xdr:colOff>
      <xdr:row>8</xdr:row>
      <xdr:rowOff>84666</xdr:rowOff>
    </xdr:from>
    <xdr:to>
      <xdr:col>9</xdr:col>
      <xdr:colOff>493888</xdr:colOff>
      <xdr:row>18</xdr:row>
      <xdr:rowOff>91722</xdr:rowOff>
    </xdr:to>
    <xdr:sp macro="" textlink="">
      <xdr:nvSpPr>
        <xdr:cNvPr id="19" name="Rectangle: Rounded Corners 18">
          <a:extLst>
            <a:ext uri="{FF2B5EF4-FFF2-40B4-BE49-F238E27FC236}">
              <a16:creationId xmlns:a16="http://schemas.microsoft.com/office/drawing/2014/main" id="{2F8674C7-55FA-3D30-E560-B00C58061BEC}"/>
            </a:ext>
          </a:extLst>
        </xdr:cNvPr>
        <xdr:cNvSpPr/>
      </xdr:nvSpPr>
      <xdr:spPr>
        <a:xfrm>
          <a:off x="2285999" y="1552222"/>
          <a:ext cx="3668889" cy="1841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493889</xdr:colOff>
      <xdr:row>0</xdr:row>
      <xdr:rowOff>56444</xdr:rowOff>
    </xdr:from>
    <xdr:to>
      <xdr:col>23</xdr:col>
      <xdr:colOff>134055</xdr:colOff>
      <xdr:row>3</xdr:row>
      <xdr:rowOff>91723</xdr:rowOff>
    </xdr:to>
    <xdr:sp macro="" textlink="">
      <xdr:nvSpPr>
        <xdr:cNvPr id="4" name="Rectangle: Top Corners Snipped 3">
          <a:extLst>
            <a:ext uri="{FF2B5EF4-FFF2-40B4-BE49-F238E27FC236}">
              <a16:creationId xmlns:a16="http://schemas.microsoft.com/office/drawing/2014/main" id="{84BE8FCB-72C7-741D-4A27-66772180F05D}"/>
            </a:ext>
          </a:extLst>
        </xdr:cNvPr>
        <xdr:cNvSpPr/>
      </xdr:nvSpPr>
      <xdr:spPr>
        <a:xfrm>
          <a:off x="2314222" y="56444"/>
          <a:ext cx="11775722" cy="585612"/>
        </a:xfrm>
        <a:prstGeom prst="snip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latin typeface="+mn-lt"/>
            </a:rPr>
            <a:t>TITANIC</a:t>
          </a:r>
          <a:endParaRPr lang="en-US" sz="1400">
            <a:solidFill>
              <a:schemeClr val="tx1"/>
            </a:solidFill>
            <a:latin typeface="+mn-lt"/>
          </a:endParaRPr>
        </a:p>
      </xdr:txBody>
    </xdr:sp>
    <xdr:clientData/>
  </xdr:twoCellAnchor>
  <xdr:twoCellAnchor>
    <xdr:from>
      <xdr:col>4</xdr:col>
      <xdr:colOff>70556</xdr:colOff>
      <xdr:row>3</xdr:row>
      <xdr:rowOff>148167</xdr:rowOff>
    </xdr:from>
    <xdr:to>
      <xdr:col>8</xdr:col>
      <xdr:colOff>246944</xdr:colOff>
      <xdr:row>8</xdr:row>
      <xdr:rowOff>14111</xdr:rowOff>
    </xdr:to>
    <xdr:sp macro="" textlink="">
      <xdr:nvSpPr>
        <xdr:cNvPr id="5" name="Rectangle: Rounded Corners 4">
          <a:extLst>
            <a:ext uri="{FF2B5EF4-FFF2-40B4-BE49-F238E27FC236}">
              <a16:creationId xmlns:a16="http://schemas.microsoft.com/office/drawing/2014/main" id="{BF14C371-2AD5-DAEA-2EDB-BFF2F3586B2D}"/>
            </a:ext>
          </a:extLst>
        </xdr:cNvPr>
        <xdr:cNvSpPr/>
      </xdr:nvSpPr>
      <xdr:spPr>
        <a:xfrm>
          <a:off x="2497667" y="698500"/>
          <a:ext cx="2603499" cy="783167"/>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rPr>
            <a:t>NUMBER OF PASSENGERS </a:t>
          </a:r>
        </a:p>
        <a:p>
          <a:pPr algn="ctr"/>
          <a:endParaRPr lang="en-US" sz="1600">
            <a:solidFill>
              <a:schemeClr val="tx1"/>
            </a:solidFill>
          </a:endParaRPr>
        </a:p>
      </xdr:txBody>
    </xdr:sp>
    <xdr:clientData/>
  </xdr:twoCellAnchor>
  <xdr:twoCellAnchor>
    <xdr:from>
      <xdr:col>13</xdr:col>
      <xdr:colOff>194734</xdr:colOff>
      <xdr:row>3</xdr:row>
      <xdr:rowOff>159455</xdr:rowOff>
    </xdr:from>
    <xdr:to>
      <xdr:col>17</xdr:col>
      <xdr:colOff>371122</xdr:colOff>
      <xdr:row>8</xdr:row>
      <xdr:rowOff>25399</xdr:rowOff>
    </xdr:to>
    <xdr:sp macro="" textlink="">
      <xdr:nvSpPr>
        <xdr:cNvPr id="6" name="Rectangle: Rounded Corners 5">
          <a:extLst>
            <a:ext uri="{FF2B5EF4-FFF2-40B4-BE49-F238E27FC236}">
              <a16:creationId xmlns:a16="http://schemas.microsoft.com/office/drawing/2014/main" id="{1525D8F5-5461-4BB4-A9F2-F88CB3AE6C26}"/>
            </a:ext>
          </a:extLst>
        </xdr:cNvPr>
        <xdr:cNvSpPr/>
      </xdr:nvSpPr>
      <xdr:spPr>
        <a:xfrm>
          <a:off x="8082845" y="709788"/>
          <a:ext cx="2603499" cy="783167"/>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n-lt"/>
            </a:rPr>
            <a:t>A</a:t>
          </a:r>
          <a:r>
            <a:rPr lang="en-US" sz="1200" b="1">
              <a:solidFill>
                <a:schemeClr val="tx1"/>
              </a:solidFill>
              <a:latin typeface="+mn-lt"/>
            </a:rPr>
            <a:t>AVERAGE PRICE PER</a:t>
          </a:r>
          <a:r>
            <a:rPr lang="en-US" sz="1200" b="1" baseline="0">
              <a:solidFill>
                <a:schemeClr val="tx1"/>
              </a:solidFill>
              <a:latin typeface="+mn-lt"/>
            </a:rPr>
            <a:t> FARE</a:t>
          </a:r>
        </a:p>
        <a:p>
          <a:pPr algn="ctr"/>
          <a:endParaRPr lang="en-US" sz="1200" b="1" baseline="0">
            <a:solidFill>
              <a:schemeClr val="tx1"/>
            </a:solidFill>
            <a:latin typeface="+mn-lt"/>
          </a:endParaRPr>
        </a:p>
        <a:p>
          <a:pPr algn="ctr"/>
          <a:endParaRPr lang="en-US" sz="1200" b="1">
            <a:latin typeface="+mn-lt"/>
          </a:endParaRPr>
        </a:p>
      </xdr:txBody>
    </xdr:sp>
    <xdr:clientData/>
  </xdr:twoCellAnchor>
  <xdr:twoCellAnchor>
    <xdr:from>
      <xdr:col>8</xdr:col>
      <xdr:colOff>438856</xdr:colOff>
      <xdr:row>3</xdr:row>
      <xdr:rowOff>163689</xdr:rowOff>
    </xdr:from>
    <xdr:to>
      <xdr:col>13</xdr:col>
      <xdr:colOff>8466</xdr:colOff>
      <xdr:row>8</xdr:row>
      <xdr:rowOff>29633</xdr:rowOff>
    </xdr:to>
    <xdr:sp macro="" textlink="">
      <xdr:nvSpPr>
        <xdr:cNvPr id="7" name="Rectangle: Rounded Corners 6">
          <a:extLst>
            <a:ext uri="{FF2B5EF4-FFF2-40B4-BE49-F238E27FC236}">
              <a16:creationId xmlns:a16="http://schemas.microsoft.com/office/drawing/2014/main" id="{C83B1BBF-3F99-4452-A3A5-037DB4597340}"/>
            </a:ext>
          </a:extLst>
        </xdr:cNvPr>
        <xdr:cNvSpPr/>
      </xdr:nvSpPr>
      <xdr:spPr>
        <a:xfrm>
          <a:off x="5293078" y="714022"/>
          <a:ext cx="2603499" cy="783167"/>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rPr>
            <a:t>PASSENGERS THAT SURVIVED</a:t>
          </a:r>
        </a:p>
      </xdr:txBody>
    </xdr:sp>
    <xdr:clientData/>
  </xdr:twoCellAnchor>
  <xdr:twoCellAnchor>
    <xdr:from>
      <xdr:col>17</xdr:col>
      <xdr:colOff>594079</xdr:colOff>
      <xdr:row>3</xdr:row>
      <xdr:rowOff>163688</xdr:rowOff>
    </xdr:from>
    <xdr:to>
      <xdr:col>22</xdr:col>
      <xdr:colOff>163689</xdr:colOff>
      <xdr:row>8</xdr:row>
      <xdr:rowOff>29632</xdr:rowOff>
    </xdr:to>
    <xdr:sp macro="" textlink="">
      <xdr:nvSpPr>
        <xdr:cNvPr id="8" name="Rectangle: Rounded Corners 7">
          <a:extLst>
            <a:ext uri="{FF2B5EF4-FFF2-40B4-BE49-F238E27FC236}">
              <a16:creationId xmlns:a16="http://schemas.microsoft.com/office/drawing/2014/main" id="{D62ABAB0-19D3-4E8F-8A72-3C5C5B598DFA}"/>
            </a:ext>
          </a:extLst>
        </xdr:cNvPr>
        <xdr:cNvSpPr/>
      </xdr:nvSpPr>
      <xdr:spPr>
        <a:xfrm>
          <a:off x="10909301" y="714021"/>
          <a:ext cx="2603499" cy="783167"/>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rPr>
            <a:t>AVERAGE AGE OF PASSENGERS</a:t>
          </a:r>
        </a:p>
      </xdr:txBody>
    </xdr:sp>
    <xdr:clientData/>
  </xdr:twoCellAnchor>
  <xdr:twoCellAnchor>
    <xdr:from>
      <xdr:col>3</xdr:col>
      <xdr:colOff>564444</xdr:colOff>
      <xdr:row>9</xdr:row>
      <xdr:rowOff>35278</xdr:rowOff>
    </xdr:from>
    <xdr:to>
      <xdr:col>9</xdr:col>
      <xdr:colOff>366888</xdr:colOff>
      <xdr:row>18</xdr:row>
      <xdr:rowOff>49389</xdr:rowOff>
    </xdr:to>
    <xdr:graphicFrame macro="">
      <xdr:nvGraphicFramePr>
        <xdr:cNvPr id="9" name="Chart 8">
          <a:extLst>
            <a:ext uri="{FF2B5EF4-FFF2-40B4-BE49-F238E27FC236}">
              <a16:creationId xmlns:a16="http://schemas.microsoft.com/office/drawing/2014/main" id="{80AB43E8-22B4-4141-B25A-878E91CF1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388057</xdr:colOff>
      <xdr:row>8</xdr:row>
      <xdr:rowOff>70555</xdr:rowOff>
    </xdr:from>
    <xdr:to>
      <xdr:col>19</xdr:col>
      <xdr:colOff>239889</xdr:colOff>
      <xdr:row>22</xdr:row>
      <xdr:rowOff>119944</xdr:rowOff>
    </xdr:to>
    <xdr:graphicFrame macro="">
      <xdr:nvGraphicFramePr>
        <xdr:cNvPr id="11" name="Chart 10">
          <a:extLst>
            <a:ext uri="{FF2B5EF4-FFF2-40B4-BE49-F238E27FC236}">
              <a16:creationId xmlns:a16="http://schemas.microsoft.com/office/drawing/2014/main" id="{E6298BB0-0351-4BA2-A33D-73D5DB158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84668</xdr:colOff>
      <xdr:row>5</xdr:row>
      <xdr:rowOff>141111</xdr:rowOff>
    </xdr:from>
    <xdr:to>
      <xdr:col>8</xdr:col>
      <xdr:colOff>225779</xdr:colOff>
      <xdr:row>8</xdr:row>
      <xdr:rowOff>0</xdr:rowOff>
    </xdr:to>
    <xdr:sp macro="" textlink="'ALL CHARTS'!$C$4">
      <xdr:nvSpPr>
        <xdr:cNvPr id="12" name="TextBox 11">
          <a:extLst>
            <a:ext uri="{FF2B5EF4-FFF2-40B4-BE49-F238E27FC236}">
              <a16:creationId xmlns:a16="http://schemas.microsoft.com/office/drawing/2014/main" id="{3FE53497-D1BC-DC07-C1AB-66B3EEB97504}"/>
            </a:ext>
          </a:extLst>
        </xdr:cNvPr>
        <xdr:cNvSpPr txBox="1"/>
      </xdr:nvSpPr>
      <xdr:spPr>
        <a:xfrm>
          <a:off x="2511779" y="1058333"/>
          <a:ext cx="2568222" cy="409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2B6A95-5C44-46E9-A334-6A2A273FE002}" type="TxLink">
            <a:rPr lang="en-US" sz="2000" b="1" i="0" u="none" strike="noStrike">
              <a:solidFill>
                <a:schemeClr val="tx1"/>
              </a:solidFill>
              <a:latin typeface="Arial Black" panose="020B0A04020102020204" pitchFamily="34" charset="0"/>
              <a:ea typeface="Calibri"/>
              <a:cs typeface="Calibri"/>
            </a:rPr>
            <a:pPr algn="ctr"/>
            <a:t>144</a:t>
          </a:fld>
          <a:endParaRPr lang="en-US" sz="2000" b="1">
            <a:solidFill>
              <a:schemeClr val="tx1"/>
            </a:solidFill>
            <a:latin typeface="Arial Black" panose="020B0A04020102020204" pitchFamily="34" charset="0"/>
          </a:endParaRPr>
        </a:p>
      </xdr:txBody>
    </xdr:sp>
    <xdr:clientData/>
  </xdr:twoCellAnchor>
  <xdr:twoCellAnchor>
    <xdr:from>
      <xdr:col>8</xdr:col>
      <xdr:colOff>458611</xdr:colOff>
      <xdr:row>5</xdr:row>
      <xdr:rowOff>84666</xdr:rowOff>
    </xdr:from>
    <xdr:to>
      <xdr:col>12</xdr:col>
      <xdr:colOff>585611</xdr:colOff>
      <xdr:row>8</xdr:row>
      <xdr:rowOff>14111</xdr:rowOff>
    </xdr:to>
    <xdr:sp macro="" textlink="'ALL CHARTS'!D87">
      <xdr:nvSpPr>
        <xdr:cNvPr id="13" name="TextBox 12">
          <a:extLst>
            <a:ext uri="{FF2B5EF4-FFF2-40B4-BE49-F238E27FC236}">
              <a16:creationId xmlns:a16="http://schemas.microsoft.com/office/drawing/2014/main" id="{5D068FFC-3055-DF04-FAA9-3486960BC509}"/>
            </a:ext>
          </a:extLst>
        </xdr:cNvPr>
        <xdr:cNvSpPr txBox="1"/>
      </xdr:nvSpPr>
      <xdr:spPr>
        <a:xfrm>
          <a:off x="5312833" y="1001888"/>
          <a:ext cx="2554111" cy="479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07EF41-DE88-4AF3-B8B2-8426333BE23B}" type="TxLink">
            <a:rPr lang="en-US" sz="1800" b="0" i="0" u="none" strike="noStrike">
              <a:solidFill>
                <a:srgbClr val="000000"/>
              </a:solidFill>
              <a:latin typeface="Arial Black" panose="020B0A04020102020204" pitchFamily="34" charset="0"/>
              <a:ea typeface="Calibri"/>
              <a:cs typeface="Calibri"/>
            </a:rPr>
            <a:pPr algn="ctr"/>
            <a:t>152</a:t>
          </a:fld>
          <a:endParaRPr lang="en-US" sz="1800">
            <a:solidFill>
              <a:schemeClr val="tx1"/>
            </a:solidFill>
            <a:latin typeface="Arial Black" panose="020B0A04020102020204" pitchFamily="34" charset="0"/>
          </a:endParaRPr>
        </a:p>
      </xdr:txBody>
    </xdr:sp>
    <xdr:clientData/>
  </xdr:twoCellAnchor>
  <xdr:twoCellAnchor>
    <xdr:from>
      <xdr:col>13</xdr:col>
      <xdr:colOff>246945</xdr:colOff>
      <xdr:row>5</xdr:row>
      <xdr:rowOff>119945</xdr:rowOff>
    </xdr:from>
    <xdr:to>
      <xdr:col>17</xdr:col>
      <xdr:colOff>359834</xdr:colOff>
      <xdr:row>8</xdr:row>
      <xdr:rowOff>7055</xdr:rowOff>
    </xdr:to>
    <xdr:sp macro="" textlink="'total av,min,max'!H5">
      <xdr:nvSpPr>
        <xdr:cNvPr id="15" name="TextBox 14">
          <a:extLst>
            <a:ext uri="{FF2B5EF4-FFF2-40B4-BE49-F238E27FC236}">
              <a16:creationId xmlns:a16="http://schemas.microsoft.com/office/drawing/2014/main" id="{7852B45D-F83B-38E1-9EC7-B58A17AB383C}"/>
            </a:ext>
          </a:extLst>
        </xdr:cNvPr>
        <xdr:cNvSpPr txBox="1"/>
      </xdr:nvSpPr>
      <xdr:spPr>
        <a:xfrm>
          <a:off x="8135056" y="1037167"/>
          <a:ext cx="2540000" cy="437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47EB72-00DD-4B08-B9C5-BE8C0BCB0811}" type="TxLink">
            <a:rPr lang="en-US" sz="1800" b="1" i="0" u="none" strike="noStrike">
              <a:solidFill>
                <a:srgbClr val="000000"/>
              </a:solidFill>
              <a:latin typeface="Arial Black" panose="020B0A04020102020204" pitchFamily="34" charset="0"/>
              <a:ea typeface="Calibri"/>
              <a:cs typeface="Calibri"/>
            </a:rPr>
            <a:pPr algn="ctr"/>
            <a:t> $35.63 </a:t>
          </a:fld>
          <a:endParaRPr lang="en-US" sz="1800" b="1">
            <a:latin typeface="Arial Black" panose="020B0A04020102020204" pitchFamily="34" charset="0"/>
          </a:endParaRPr>
        </a:p>
      </xdr:txBody>
    </xdr:sp>
    <xdr:clientData/>
  </xdr:twoCellAnchor>
  <xdr:twoCellAnchor>
    <xdr:from>
      <xdr:col>18</xdr:col>
      <xdr:colOff>7056</xdr:colOff>
      <xdr:row>5</xdr:row>
      <xdr:rowOff>127000</xdr:rowOff>
    </xdr:from>
    <xdr:to>
      <xdr:col>22</xdr:col>
      <xdr:colOff>127000</xdr:colOff>
      <xdr:row>8</xdr:row>
      <xdr:rowOff>-1</xdr:rowOff>
    </xdr:to>
    <xdr:sp macro="" textlink="'total av,min,max'!H8">
      <xdr:nvSpPr>
        <xdr:cNvPr id="16" name="TextBox 15">
          <a:extLst>
            <a:ext uri="{FF2B5EF4-FFF2-40B4-BE49-F238E27FC236}">
              <a16:creationId xmlns:a16="http://schemas.microsoft.com/office/drawing/2014/main" id="{1706D291-D894-DCCE-8969-12D4D1817F3A}"/>
            </a:ext>
          </a:extLst>
        </xdr:cNvPr>
        <xdr:cNvSpPr txBox="1"/>
      </xdr:nvSpPr>
      <xdr:spPr>
        <a:xfrm>
          <a:off x="10929056" y="1044222"/>
          <a:ext cx="2547055" cy="423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063CBD-44A0-4E46-8322-7A5F30AC6997}" type="TxLink">
            <a:rPr lang="en-US" sz="1800" b="1" i="0" u="none" strike="noStrike">
              <a:solidFill>
                <a:srgbClr val="000000"/>
              </a:solidFill>
              <a:latin typeface="Arial Black" panose="020B0A04020102020204" pitchFamily="34" charset="0"/>
              <a:ea typeface="Calibri"/>
              <a:cs typeface="Calibri"/>
            </a:rPr>
            <a:pPr algn="ctr"/>
            <a:t>30.2</a:t>
          </a:fld>
          <a:endParaRPr lang="en-US" sz="1800" b="1">
            <a:latin typeface="Arial Black" panose="020B0A04020102020204" pitchFamily="34" charset="0"/>
          </a:endParaRPr>
        </a:p>
      </xdr:txBody>
    </xdr:sp>
    <xdr:clientData/>
  </xdr:twoCellAnchor>
  <xdr:twoCellAnchor>
    <xdr:from>
      <xdr:col>10</xdr:col>
      <xdr:colOff>119945</xdr:colOff>
      <xdr:row>9</xdr:row>
      <xdr:rowOff>21167</xdr:rowOff>
    </xdr:from>
    <xdr:to>
      <xdr:col>14</xdr:col>
      <xdr:colOff>557389</xdr:colOff>
      <xdr:row>19</xdr:row>
      <xdr:rowOff>7056</xdr:rowOff>
    </xdr:to>
    <xdr:graphicFrame macro="">
      <xdr:nvGraphicFramePr>
        <xdr:cNvPr id="17" name="Chart 16">
          <a:extLst>
            <a:ext uri="{FF2B5EF4-FFF2-40B4-BE49-F238E27FC236}">
              <a16:creationId xmlns:a16="http://schemas.microsoft.com/office/drawing/2014/main" id="{233F1BE9-7496-4836-ABE5-7F48A4E64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402166</xdr:colOff>
      <xdr:row>23</xdr:row>
      <xdr:rowOff>49390</xdr:rowOff>
    </xdr:from>
    <xdr:to>
      <xdr:col>19</xdr:col>
      <xdr:colOff>275168</xdr:colOff>
      <xdr:row>37</xdr:row>
      <xdr:rowOff>36568</xdr:rowOff>
    </xdr:to>
    <xdr:graphicFrame macro="">
      <xdr:nvGraphicFramePr>
        <xdr:cNvPr id="18" name="Chart 17">
          <a:extLst>
            <a:ext uri="{FF2B5EF4-FFF2-40B4-BE49-F238E27FC236}">
              <a16:creationId xmlns:a16="http://schemas.microsoft.com/office/drawing/2014/main" id="{5205A184-A26C-461A-9C9D-85E43F70A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599722</xdr:colOff>
      <xdr:row>19</xdr:row>
      <xdr:rowOff>119945</xdr:rowOff>
    </xdr:from>
    <xdr:to>
      <xdr:col>15</xdr:col>
      <xdr:colOff>161426</xdr:colOff>
      <xdr:row>27</xdr:row>
      <xdr:rowOff>10267</xdr:rowOff>
    </xdr:to>
    <xdr:graphicFrame macro="">
      <xdr:nvGraphicFramePr>
        <xdr:cNvPr id="2" name="Chart 1">
          <a:extLst>
            <a:ext uri="{FF2B5EF4-FFF2-40B4-BE49-F238E27FC236}">
              <a16:creationId xmlns:a16="http://schemas.microsoft.com/office/drawing/2014/main" id="{20DF91DD-A1CE-44C9-8FE7-61A93C06C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184150</xdr:colOff>
      <xdr:row>2</xdr:row>
      <xdr:rowOff>50800</xdr:rowOff>
    </xdr:from>
    <xdr:to>
      <xdr:col>10</xdr:col>
      <xdr:colOff>203200</xdr:colOff>
      <xdr:row>17</xdr:row>
      <xdr:rowOff>114300</xdr:rowOff>
    </xdr:to>
    <xdr:sp macro="" textlink="">
      <xdr:nvSpPr>
        <xdr:cNvPr id="3" name="Rectangle: Rounded Corners 2">
          <a:extLst>
            <a:ext uri="{FF2B5EF4-FFF2-40B4-BE49-F238E27FC236}">
              <a16:creationId xmlns:a16="http://schemas.microsoft.com/office/drawing/2014/main" id="{C05D4762-E820-3D23-FF54-4F0DACF0A462}"/>
            </a:ext>
          </a:extLst>
        </xdr:cNvPr>
        <xdr:cNvSpPr/>
      </xdr:nvSpPr>
      <xdr:spPr>
        <a:xfrm>
          <a:off x="1403350" y="419100"/>
          <a:ext cx="4895850" cy="2825750"/>
        </a:xfrm>
        <a:prstGeom prst="roundRect">
          <a:avLst/>
        </a:prstGeom>
        <a:noFill/>
        <a:ln>
          <a:noFill/>
        </a:ln>
        <a:effectLst>
          <a:outerShdw blurRad="63500" sx="102000" sy="102000" algn="ctr"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0.888659606484" createdVersion="8" refreshedVersion="8" minRefreshableVersion="3" recordCount="419" xr:uid="{5E730481-68CD-474A-AF3C-63551ABCF2B2}">
  <cacheSource type="worksheet">
    <worksheetSource ref="A1:P1048576" sheet="cleaned table"/>
  </cacheSource>
  <cacheFields count="16">
    <cacheField name="Passenger ID" numFmtId="0">
      <sharedItems containsString="0" containsBlank="1" containsNumber="1" containsInteger="1" minValue="892" maxValue="1309"/>
    </cacheField>
    <cacheField name="Survived" numFmtId="0">
      <sharedItems containsString="0" containsBlank="1" containsNumber="1" containsInteger="1" minValue="0" maxValue="1" count="3">
        <n v="0"/>
        <n v="1"/>
        <m/>
      </sharedItems>
    </cacheField>
    <cacheField name="Pclass" numFmtId="0">
      <sharedItems containsString="0" containsBlank="1" containsNumber="1" containsInteger="1" minValue="1" maxValue="3" count="4">
        <n v="3"/>
        <n v="2"/>
        <n v="1"/>
        <m/>
      </sharedItems>
    </cacheField>
    <cacheField name="Name" numFmtId="0">
      <sharedItems containsBlank="1"/>
    </cacheField>
    <cacheField name="Sex" numFmtId="0">
      <sharedItems containsBlank="1" count="3">
        <s v="male"/>
        <s v="female"/>
        <m/>
      </sharedItems>
    </cacheField>
    <cacheField name="AGEGROUP" numFmtId="0">
      <sharedItems containsBlank="1" count="5">
        <s v="ADULT"/>
        <s v="ELDER"/>
        <s v="YOUTH"/>
        <s v="TEEN"/>
        <m/>
      </sharedItems>
    </cacheField>
    <cacheField name="Age" numFmtId="0">
      <sharedItems containsString="0" containsBlank="1" containsNumber="1" minValue="0.17" maxValue="76"/>
    </cacheField>
    <cacheField name="SIBLINGS/SPOUSES" numFmtId="0">
      <sharedItems containsString="0" containsBlank="1" containsNumber="1" containsInteger="1" minValue="0" maxValue="8"/>
    </cacheField>
    <cacheField name="Parch" numFmtId="0">
      <sharedItems containsString="0" containsBlank="1" containsNumber="1" containsInteger="1" minValue="0" maxValue="9"/>
    </cacheField>
    <cacheField name="Ticket" numFmtId="0">
      <sharedItems containsBlank="1"/>
    </cacheField>
    <cacheField name="Fare" numFmtId="0">
      <sharedItems containsString="0" containsBlank="1" containsNumber="1" minValue="0" maxValue="512.32920000000001"/>
    </cacheField>
    <cacheField name="Cabin" numFmtId="0">
      <sharedItems containsBlank="1"/>
    </cacheField>
    <cacheField name="Embarked" numFmtId="0">
      <sharedItems containsBlank="1" count="4">
        <s v="Q"/>
        <s v="S"/>
        <s v="C"/>
        <m/>
      </sharedItems>
    </cacheField>
    <cacheField name="CHILD" numFmtId="0">
      <sharedItems containsBlank="1" count="3">
        <s v="NO"/>
        <s v="YES"/>
        <m/>
      </sharedItems>
    </cacheField>
    <cacheField name="HAD SBLINGS" numFmtId="0">
      <sharedItems containsBlank="1"/>
    </cacheField>
    <cacheField name="HAD CHILDREN" numFmtId="0">
      <sharedItems containsBlank="1"/>
    </cacheField>
  </cacheFields>
  <extLst>
    <ext xmlns:x14="http://schemas.microsoft.com/office/spreadsheetml/2009/9/main" uri="{725AE2AE-9491-48be-B2B4-4EB974FC3084}">
      <x14:pivotCacheDefinition pivotCacheId="11372743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8.989077430553" createdVersion="8" refreshedVersion="8" minRefreshableVersion="3" recordCount="418" xr:uid="{4D4557AF-5D3D-48B6-A58A-9C9D914EE0A3}">
  <cacheSource type="worksheet">
    <worksheetSource name="Cleanedtable"/>
  </cacheSource>
  <cacheFields count="16">
    <cacheField name="Passenger ID" numFmtId="0">
      <sharedItems containsSemiMixedTypes="0" containsString="0" containsNumber="1" containsInteger="1" minValue="892" maxValue="1309"/>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2"/>
        <n v="1"/>
      </sharedItems>
    </cacheField>
    <cacheField name="Name" numFmtId="0">
      <sharedItems/>
    </cacheField>
    <cacheField name="Sex" numFmtId="0">
      <sharedItems count="2">
        <s v="male"/>
        <s v="female"/>
      </sharedItems>
    </cacheField>
    <cacheField name="AGEGROUP" numFmtId="0">
      <sharedItems count="5">
        <s v="ADULT"/>
        <s v="ELDER"/>
        <s v="YOUTH"/>
        <s v="TEEN"/>
        <b v="0" u="1"/>
      </sharedItems>
    </cacheField>
    <cacheField name="Age" numFmtId="0">
      <sharedItems containsSemiMixedTypes="0" containsString="0" containsNumber="1" minValue="0.17" maxValue="76"/>
    </cacheField>
    <cacheField name="SIBLINGS/SPOUSES"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Ticket" numFmtId="0">
      <sharedItems/>
    </cacheField>
    <cacheField name="Fare" numFmtId="0">
      <sharedItems containsString="0" containsBlank="1" containsNumber="1" minValue="0" maxValue="512.32920000000001"/>
    </cacheField>
    <cacheField name="Cabin" numFmtId="0">
      <sharedItems containsBlank="1"/>
    </cacheField>
    <cacheField name="Embarked" numFmtId="0">
      <sharedItems count="3">
        <s v="Q"/>
        <s v="S"/>
        <s v="C"/>
      </sharedItems>
    </cacheField>
    <cacheField name="CHILD" numFmtId="0">
      <sharedItems/>
    </cacheField>
    <cacheField name="HAD SBLINGS" numFmtId="0">
      <sharedItems count="2">
        <s v="NO"/>
        <s v="YES"/>
      </sharedItems>
    </cacheField>
    <cacheField name="HAD CHILDREN" numFmtId="0">
      <sharedItems count="2">
        <s v="NO"/>
        <s v="YES"/>
      </sharedItems>
    </cacheField>
  </cacheFields>
  <extLst>
    <ext xmlns:x14="http://schemas.microsoft.com/office/spreadsheetml/2009/9/main" uri="{725AE2AE-9491-48be-B2B4-4EB974FC3084}">
      <x14:pivotCacheDefinition pivotCacheId="80006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
  <r>
    <n v="892"/>
    <x v="0"/>
    <x v="0"/>
    <s v="Kelly, Mr. James"/>
    <x v="0"/>
    <x v="0"/>
    <n v="34.5"/>
    <n v="0"/>
    <n v="0"/>
    <s v="330911"/>
    <n v="7.8292000000000002"/>
    <m/>
    <x v="0"/>
    <x v="0"/>
    <s v="NO"/>
    <s v="NO"/>
  </r>
  <r>
    <n v="893"/>
    <x v="1"/>
    <x v="0"/>
    <s v="Wilkes, Mrs. James (Ellen Needs)"/>
    <x v="1"/>
    <x v="0"/>
    <n v="47"/>
    <n v="1"/>
    <n v="0"/>
    <s v="363272"/>
    <n v="7"/>
    <m/>
    <x v="1"/>
    <x v="0"/>
    <s v="YES"/>
    <s v="NO"/>
  </r>
  <r>
    <n v="894"/>
    <x v="0"/>
    <x v="1"/>
    <s v="Myles, Mr. Thomas Francis"/>
    <x v="0"/>
    <x v="1"/>
    <n v="62"/>
    <n v="0"/>
    <n v="0"/>
    <s v="240276"/>
    <n v="9.6875"/>
    <m/>
    <x v="0"/>
    <x v="0"/>
    <s v="NO"/>
    <s v="NO"/>
  </r>
  <r>
    <n v="895"/>
    <x v="0"/>
    <x v="0"/>
    <s v="Wirz, Mr. Albert"/>
    <x v="0"/>
    <x v="2"/>
    <n v="27"/>
    <n v="0"/>
    <n v="0"/>
    <s v="315154"/>
    <n v="8.6624999999999996"/>
    <m/>
    <x v="1"/>
    <x v="0"/>
    <s v="NO"/>
    <s v="NO"/>
  </r>
  <r>
    <n v="896"/>
    <x v="1"/>
    <x v="0"/>
    <s v="Hirvonen, Mrs. Alexander (Helga E Lindqvist)"/>
    <x v="1"/>
    <x v="2"/>
    <n v="22"/>
    <n v="1"/>
    <n v="1"/>
    <s v="3101298"/>
    <n v="12.2875"/>
    <m/>
    <x v="1"/>
    <x v="0"/>
    <s v="YES"/>
    <s v="YES"/>
  </r>
  <r>
    <n v="897"/>
    <x v="0"/>
    <x v="0"/>
    <s v="Svensson, Mr. Johan Cervin"/>
    <x v="0"/>
    <x v="3"/>
    <n v="14"/>
    <n v="0"/>
    <n v="0"/>
    <s v="7538"/>
    <n v="9.2249999999999996"/>
    <m/>
    <x v="1"/>
    <x v="1"/>
    <s v="NO"/>
    <s v="NO"/>
  </r>
  <r>
    <n v="898"/>
    <x v="1"/>
    <x v="0"/>
    <s v="Connolly, Miss. Kate"/>
    <x v="1"/>
    <x v="0"/>
    <n v="30"/>
    <n v="0"/>
    <n v="0"/>
    <s v="330972"/>
    <n v="7.6292"/>
    <m/>
    <x v="0"/>
    <x v="0"/>
    <s v="NO"/>
    <s v="NO"/>
  </r>
  <r>
    <n v="899"/>
    <x v="0"/>
    <x v="1"/>
    <s v="Caldwell, Mr. Albert Francis"/>
    <x v="0"/>
    <x v="2"/>
    <n v="26"/>
    <n v="1"/>
    <n v="1"/>
    <s v="248738"/>
    <n v="29"/>
    <m/>
    <x v="1"/>
    <x v="0"/>
    <s v="YES"/>
    <s v="YES"/>
  </r>
  <r>
    <n v="900"/>
    <x v="1"/>
    <x v="0"/>
    <s v="Abrahim, Mrs. Joseph (Sophie Halaut Easu)"/>
    <x v="1"/>
    <x v="2"/>
    <n v="18"/>
    <n v="0"/>
    <n v="0"/>
    <s v="2657"/>
    <n v="7.2291999999999996"/>
    <m/>
    <x v="2"/>
    <x v="0"/>
    <s v="NO"/>
    <s v="NO"/>
  </r>
  <r>
    <n v="901"/>
    <x v="0"/>
    <x v="0"/>
    <s v="Davies, Mr. John Samuel"/>
    <x v="0"/>
    <x v="2"/>
    <n v="21"/>
    <n v="2"/>
    <n v="0"/>
    <s v="A/4 48871"/>
    <n v="24.15"/>
    <m/>
    <x v="1"/>
    <x v="0"/>
    <s v="YES"/>
    <s v="NO"/>
  </r>
  <r>
    <n v="902"/>
    <x v="0"/>
    <x v="0"/>
    <s v="Ilieff, Mr. Ylio"/>
    <x v="0"/>
    <x v="0"/>
    <n v="30.2"/>
    <n v="0"/>
    <n v="0"/>
    <s v="349220"/>
    <n v="7.8958000000000004"/>
    <m/>
    <x v="1"/>
    <x v="0"/>
    <s v="NO"/>
    <s v="NO"/>
  </r>
  <r>
    <n v="903"/>
    <x v="0"/>
    <x v="2"/>
    <s v="Jones, Mr. Charles Cresson"/>
    <x v="0"/>
    <x v="0"/>
    <n v="46"/>
    <n v="0"/>
    <n v="0"/>
    <s v="694"/>
    <n v="26"/>
    <m/>
    <x v="1"/>
    <x v="0"/>
    <s v="NO"/>
    <s v="NO"/>
  </r>
  <r>
    <n v="904"/>
    <x v="1"/>
    <x v="2"/>
    <s v="Snyder, Mrs. John Pillsbury (Nelle Stevenson)"/>
    <x v="1"/>
    <x v="2"/>
    <n v="23"/>
    <n v="1"/>
    <n v="0"/>
    <s v="21228"/>
    <n v="82.2667"/>
    <s v="B45"/>
    <x v="1"/>
    <x v="0"/>
    <s v="YES"/>
    <s v="NO"/>
  </r>
  <r>
    <n v="905"/>
    <x v="0"/>
    <x v="1"/>
    <s v="Howard, Mr. Benjamin"/>
    <x v="0"/>
    <x v="1"/>
    <n v="63"/>
    <n v="1"/>
    <n v="0"/>
    <s v="24065"/>
    <n v="26"/>
    <m/>
    <x v="1"/>
    <x v="0"/>
    <s v="YES"/>
    <s v="NO"/>
  </r>
  <r>
    <n v="906"/>
    <x v="1"/>
    <x v="2"/>
    <s v="Chaffee, Mrs. Herbert Fuller (Carrie Constance Toogood)"/>
    <x v="1"/>
    <x v="0"/>
    <n v="47"/>
    <n v="1"/>
    <n v="0"/>
    <s v="W.E.P. 5734"/>
    <n v="61.174999999999997"/>
    <s v="E31"/>
    <x v="1"/>
    <x v="0"/>
    <s v="YES"/>
    <s v="NO"/>
  </r>
  <r>
    <n v="907"/>
    <x v="1"/>
    <x v="1"/>
    <s v="del Carlo, Mrs. Sebastiano (Argenia Genovesi)"/>
    <x v="1"/>
    <x v="2"/>
    <n v="24"/>
    <n v="1"/>
    <n v="0"/>
    <s v="Sc/Paris 2167"/>
    <n v="27.720800000000001"/>
    <m/>
    <x v="2"/>
    <x v="0"/>
    <s v="YES"/>
    <s v="NO"/>
  </r>
  <r>
    <n v="908"/>
    <x v="0"/>
    <x v="1"/>
    <s v="Keane, Mr. Daniel"/>
    <x v="0"/>
    <x v="0"/>
    <n v="35"/>
    <n v="0"/>
    <n v="0"/>
    <s v="233734"/>
    <n v="12.35"/>
    <m/>
    <x v="0"/>
    <x v="0"/>
    <s v="NO"/>
    <s v="NO"/>
  </r>
  <r>
    <n v="909"/>
    <x v="0"/>
    <x v="0"/>
    <s v="Assaf, Mr. Gerios"/>
    <x v="0"/>
    <x v="2"/>
    <n v="21"/>
    <n v="0"/>
    <n v="0"/>
    <s v="2692"/>
    <n v="7.2249999999999996"/>
    <m/>
    <x v="2"/>
    <x v="0"/>
    <s v="NO"/>
    <s v="NO"/>
  </r>
  <r>
    <n v="910"/>
    <x v="1"/>
    <x v="0"/>
    <s v="Ilmakangas, Miss. Ida Livija"/>
    <x v="1"/>
    <x v="2"/>
    <n v="27"/>
    <n v="1"/>
    <n v="0"/>
    <s v="Ston/O2. 3101270"/>
    <n v="7.9249999999999998"/>
    <m/>
    <x v="1"/>
    <x v="0"/>
    <s v="YES"/>
    <s v="NO"/>
  </r>
  <r>
    <n v="911"/>
    <x v="1"/>
    <x v="0"/>
    <s v="Assaf Khalil, Mrs. Mariana (Miriam&quot;)&quot;"/>
    <x v="1"/>
    <x v="0"/>
    <n v="45"/>
    <n v="0"/>
    <n v="0"/>
    <s v="2696"/>
    <n v="7.2249999999999996"/>
    <m/>
    <x v="2"/>
    <x v="0"/>
    <s v="NO"/>
    <s v="NO"/>
  </r>
  <r>
    <n v="912"/>
    <x v="0"/>
    <x v="2"/>
    <s v="Rothschild, Mr. Martin"/>
    <x v="0"/>
    <x v="0"/>
    <n v="55"/>
    <n v="1"/>
    <n v="0"/>
    <s v="Pc 17603"/>
    <n v="59.4"/>
    <m/>
    <x v="2"/>
    <x v="0"/>
    <s v="YES"/>
    <s v="NO"/>
  </r>
  <r>
    <n v="913"/>
    <x v="0"/>
    <x v="0"/>
    <s v="Olsen, Master. Artur Karl"/>
    <x v="0"/>
    <x v="3"/>
    <n v="9"/>
    <n v="0"/>
    <n v="1"/>
    <s v="C 17368"/>
    <n v="3.1707999999999998"/>
    <m/>
    <x v="1"/>
    <x v="1"/>
    <s v="NO"/>
    <s v="YES"/>
  </r>
  <r>
    <n v="914"/>
    <x v="1"/>
    <x v="2"/>
    <s v="Flegenheim, Mrs. Alfred (Antoinette)"/>
    <x v="1"/>
    <x v="0"/>
    <n v="30.2"/>
    <n v="0"/>
    <n v="0"/>
    <s v="Pc 17598"/>
    <n v="31.683299999999999"/>
    <m/>
    <x v="1"/>
    <x v="0"/>
    <s v="NO"/>
    <s v="NO"/>
  </r>
  <r>
    <n v="915"/>
    <x v="0"/>
    <x v="2"/>
    <s v="Williams, Mr. Richard Norris II"/>
    <x v="0"/>
    <x v="2"/>
    <n v="21"/>
    <n v="0"/>
    <n v="1"/>
    <s v="Pc 17597"/>
    <n v="61.379199999999997"/>
    <m/>
    <x v="2"/>
    <x v="0"/>
    <s v="NO"/>
    <s v="YES"/>
  </r>
  <r>
    <n v="916"/>
    <x v="1"/>
    <x v="2"/>
    <s v="Ryerson, Mrs. Arthur Larned (Emily Maria Borie)"/>
    <x v="1"/>
    <x v="0"/>
    <n v="48"/>
    <n v="1"/>
    <n v="3"/>
    <s v="Pc 17608"/>
    <n v="262.375"/>
    <s v="B57 B59 B63 B66"/>
    <x v="2"/>
    <x v="0"/>
    <s v="YES"/>
    <s v="YES"/>
  </r>
  <r>
    <n v="917"/>
    <x v="0"/>
    <x v="0"/>
    <s v="Robins, Mr. Alexander A"/>
    <x v="0"/>
    <x v="0"/>
    <n v="50"/>
    <n v="1"/>
    <n v="0"/>
    <s v="A/5. 3337"/>
    <n v="14.5"/>
    <m/>
    <x v="1"/>
    <x v="0"/>
    <s v="YES"/>
    <s v="NO"/>
  </r>
  <r>
    <n v="918"/>
    <x v="1"/>
    <x v="2"/>
    <s v="Ostby, Miss. Helene Ragnhild"/>
    <x v="1"/>
    <x v="2"/>
    <n v="22"/>
    <n v="0"/>
    <n v="1"/>
    <s v="113509"/>
    <n v="61.979199999999999"/>
    <s v="B36"/>
    <x v="2"/>
    <x v="0"/>
    <s v="NO"/>
    <s v="YES"/>
  </r>
  <r>
    <n v="919"/>
    <x v="0"/>
    <x v="0"/>
    <s v="Daher, Mr. Shedid"/>
    <x v="0"/>
    <x v="2"/>
    <n v="22.5"/>
    <n v="0"/>
    <n v="0"/>
    <s v="2698"/>
    <n v="7.2249999999999996"/>
    <m/>
    <x v="2"/>
    <x v="0"/>
    <s v="NO"/>
    <s v="NO"/>
  </r>
  <r>
    <n v="920"/>
    <x v="0"/>
    <x v="2"/>
    <s v="Brady, Mr. John Bertram"/>
    <x v="0"/>
    <x v="0"/>
    <n v="41"/>
    <n v="0"/>
    <n v="0"/>
    <s v="113054"/>
    <n v="30.5"/>
    <s v="A21"/>
    <x v="1"/>
    <x v="0"/>
    <s v="NO"/>
    <s v="NO"/>
  </r>
  <r>
    <n v="921"/>
    <x v="0"/>
    <x v="0"/>
    <s v="Samaan, Mr. Elias"/>
    <x v="0"/>
    <x v="0"/>
    <n v="30.2"/>
    <n v="2"/>
    <n v="0"/>
    <s v="2662"/>
    <n v="21.679200000000002"/>
    <m/>
    <x v="2"/>
    <x v="0"/>
    <s v="YES"/>
    <s v="NO"/>
  </r>
  <r>
    <n v="922"/>
    <x v="0"/>
    <x v="1"/>
    <s v="Louch, Mr. Charles Alexander"/>
    <x v="0"/>
    <x v="0"/>
    <n v="50"/>
    <n v="1"/>
    <n v="0"/>
    <s v="Sc/Ah 3085"/>
    <n v="26"/>
    <m/>
    <x v="1"/>
    <x v="0"/>
    <s v="YES"/>
    <s v="NO"/>
  </r>
  <r>
    <n v="923"/>
    <x v="0"/>
    <x v="1"/>
    <s v="Jefferys, Mr. Clifford Thomas"/>
    <x v="0"/>
    <x v="2"/>
    <n v="24"/>
    <n v="2"/>
    <n v="0"/>
    <s v="C.A. 31029"/>
    <n v="31.5"/>
    <m/>
    <x v="1"/>
    <x v="0"/>
    <s v="YES"/>
    <s v="NO"/>
  </r>
  <r>
    <n v="924"/>
    <x v="1"/>
    <x v="0"/>
    <s v="Dean, Mrs. Bertram (Eva Georgetta Light)"/>
    <x v="1"/>
    <x v="0"/>
    <n v="33"/>
    <n v="1"/>
    <n v="2"/>
    <s v="C.A. 2315"/>
    <n v="20.574999999999999"/>
    <m/>
    <x v="1"/>
    <x v="0"/>
    <s v="YES"/>
    <s v="YES"/>
  </r>
  <r>
    <n v="925"/>
    <x v="1"/>
    <x v="0"/>
    <s v="Johnston, Mrs. Andrew G (Elizabeth Lily&quot; Watson)&quot;"/>
    <x v="1"/>
    <x v="0"/>
    <n v="30.2"/>
    <n v="1"/>
    <n v="2"/>
    <s v="W./C. 6607"/>
    <n v="23.45"/>
    <m/>
    <x v="1"/>
    <x v="0"/>
    <s v="YES"/>
    <s v="YES"/>
  </r>
  <r>
    <n v="926"/>
    <x v="0"/>
    <x v="2"/>
    <s v="Mock, Mr. Philipp Edmund"/>
    <x v="0"/>
    <x v="0"/>
    <n v="30"/>
    <n v="1"/>
    <n v="0"/>
    <s v="13236"/>
    <n v="57.75"/>
    <s v="C78"/>
    <x v="2"/>
    <x v="0"/>
    <s v="YES"/>
    <s v="NO"/>
  </r>
  <r>
    <n v="927"/>
    <x v="0"/>
    <x v="0"/>
    <s v="Katavelas, Mr. Vassilios (Catavelas Vassilios&quot;)&quot;"/>
    <x v="0"/>
    <x v="2"/>
    <n v="18.5"/>
    <n v="0"/>
    <n v="0"/>
    <s v="2682"/>
    <n v="7.2291999999999996"/>
    <m/>
    <x v="2"/>
    <x v="0"/>
    <s v="NO"/>
    <s v="NO"/>
  </r>
  <r>
    <n v="928"/>
    <x v="1"/>
    <x v="0"/>
    <s v="Roth, Miss. Sarah A"/>
    <x v="1"/>
    <x v="0"/>
    <n v="30.2"/>
    <n v="0"/>
    <n v="0"/>
    <s v="342712"/>
    <n v="8.0500000000000007"/>
    <m/>
    <x v="1"/>
    <x v="0"/>
    <s v="NO"/>
    <s v="NO"/>
  </r>
  <r>
    <n v="929"/>
    <x v="1"/>
    <x v="0"/>
    <s v="Cacic, Miss. Manda"/>
    <x v="1"/>
    <x v="2"/>
    <n v="21"/>
    <n v="0"/>
    <n v="0"/>
    <s v="315087"/>
    <n v="8.6624999999999996"/>
    <m/>
    <x v="1"/>
    <x v="0"/>
    <s v="NO"/>
    <s v="NO"/>
  </r>
  <r>
    <n v="930"/>
    <x v="0"/>
    <x v="0"/>
    <s v="Sap, Mr. Julius"/>
    <x v="0"/>
    <x v="2"/>
    <n v="25"/>
    <n v="0"/>
    <n v="0"/>
    <s v="345768"/>
    <n v="9.5"/>
    <m/>
    <x v="1"/>
    <x v="0"/>
    <s v="NO"/>
    <s v="NO"/>
  </r>
  <r>
    <n v="931"/>
    <x v="0"/>
    <x v="0"/>
    <s v="Hee, Mr. Ling"/>
    <x v="0"/>
    <x v="0"/>
    <n v="30.2"/>
    <n v="0"/>
    <n v="0"/>
    <s v="1601"/>
    <n v="56.495800000000003"/>
    <m/>
    <x v="1"/>
    <x v="0"/>
    <s v="NO"/>
    <s v="NO"/>
  </r>
  <r>
    <n v="932"/>
    <x v="0"/>
    <x v="0"/>
    <s v="Karun, Mr. Franz"/>
    <x v="0"/>
    <x v="0"/>
    <n v="39"/>
    <n v="0"/>
    <n v="1"/>
    <s v="349256"/>
    <n v="13.416700000000001"/>
    <m/>
    <x v="2"/>
    <x v="0"/>
    <s v="NO"/>
    <s v="YES"/>
  </r>
  <r>
    <n v="933"/>
    <x v="0"/>
    <x v="2"/>
    <s v="Franklin, Mr. Thomas Parham"/>
    <x v="0"/>
    <x v="0"/>
    <n v="30.2"/>
    <n v="0"/>
    <n v="0"/>
    <s v="113778"/>
    <n v="26.55"/>
    <s v="D34"/>
    <x v="1"/>
    <x v="0"/>
    <s v="NO"/>
    <s v="NO"/>
  </r>
  <r>
    <n v="934"/>
    <x v="0"/>
    <x v="0"/>
    <s v="Goldsmith, Mr. Nathan"/>
    <x v="0"/>
    <x v="0"/>
    <n v="41"/>
    <n v="0"/>
    <n v="0"/>
    <s v="Soton/O.Q. 3101263"/>
    <n v="7.85"/>
    <m/>
    <x v="1"/>
    <x v="0"/>
    <s v="NO"/>
    <s v="NO"/>
  </r>
  <r>
    <n v="935"/>
    <x v="1"/>
    <x v="1"/>
    <s v="Corbett, Mrs. Walter H (Irene Colvin)"/>
    <x v="1"/>
    <x v="0"/>
    <n v="30"/>
    <n v="0"/>
    <n v="0"/>
    <s v="237249"/>
    <n v="13"/>
    <m/>
    <x v="1"/>
    <x v="0"/>
    <s v="NO"/>
    <s v="NO"/>
  </r>
  <r>
    <n v="936"/>
    <x v="1"/>
    <x v="2"/>
    <s v="Kimball, Mrs. Edwin Nelson Jr (Gertrude Parsons)"/>
    <x v="1"/>
    <x v="0"/>
    <n v="45"/>
    <n v="1"/>
    <n v="0"/>
    <s v="11753"/>
    <n v="52.554200000000002"/>
    <s v="D19"/>
    <x v="1"/>
    <x v="0"/>
    <s v="YES"/>
    <s v="NO"/>
  </r>
  <r>
    <n v="937"/>
    <x v="0"/>
    <x v="0"/>
    <s v="Peltomaki, Mr. Nikolai Johannes"/>
    <x v="0"/>
    <x v="2"/>
    <n v="25"/>
    <n v="0"/>
    <n v="0"/>
    <s v="Ston/O 2. 3101291"/>
    <n v="7.9249999999999998"/>
    <m/>
    <x v="1"/>
    <x v="0"/>
    <s v="NO"/>
    <s v="NO"/>
  </r>
  <r>
    <n v="938"/>
    <x v="0"/>
    <x v="2"/>
    <s v="Chevre, Mr. Paul Romaine"/>
    <x v="0"/>
    <x v="0"/>
    <n v="45"/>
    <n v="0"/>
    <n v="0"/>
    <s v="Pc 17594"/>
    <n v="29.7"/>
    <s v="A9"/>
    <x v="2"/>
    <x v="0"/>
    <s v="NO"/>
    <s v="NO"/>
  </r>
  <r>
    <n v="939"/>
    <x v="0"/>
    <x v="0"/>
    <s v="Shaughnessy, Mr. Patrick"/>
    <x v="0"/>
    <x v="0"/>
    <n v="30.2"/>
    <n v="0"/>
    <n v="0"/>
    <s v="370374"/>
    <n v="7.75"/>
    <m/>
    <x v="0"/>
    <x v="0"/>
    <s v="NO"/>
    <s v="NO"/>
  </r>
  <r>
    <n v="940"/>
    <x v="1"/>
    <x v="2"/>
    <s v="Bucknell, Mrs. William Robert (Emma Eliza Ward)"/>
    <x v="1"/>
    <x v="1"/>
    <n v="60"/>
    <n v="0"/>
    <n v="0"/>
    <s v="11813"/>
    <n v="76.291700000000006"/>
    <s v="D15"/>
    <x v="2"/>
    <x v="0"/>
    <s v="NO"/>
    <s v="NO"/>
  </r>
  <r>
    <n v="941"/>
    <x v="1"/>
    <x v="0"/>
    <s v="Coutts, Mrs. William (Winnie Minnie&quot; Treanor)&quot;"/>
    <x v="1"/>
    <x v="0"/>
    <n v="36"/>
    <n v="0"/>
    <n v="2"/>
    <s v="C.A. 37671"/>
    <n v="15.9"/>
    <m/>
    <x v="1"/>
    <x v="0"/>
    <s v="NO"/>
    <s v="YES"/>
  </r>
  <r>
    <n v="942"/>
    <x v="0"/>
    <x v="2"/>
    <s v="Smith, Mr. Lucien Philip"/>
    <x v="0"/>
    <x v="2"/>
    <n v="24"/>
    <n v="1"/>
    <n v="0"/>
    <s v="13695"/>
    <n v="60"/>
    <s v="C31"/>
    <x v="1"/>
    <x v="0"/>
    <s v="YES"/>
    <s v="NO"/>
  </r>
  <r>
    <n v="943"/>
    <x v="0"/>
    <x v="1"/>
    <s v="Pulbaum, Mr. Franz"/>
    <x v="0"/>
    <x v="2"/>
    <n v="27"/>
    <n v="0"/>
    <n v="0"/>
    <s v="Sc/Paris 2168"/>
    <n v="15.033300000000001"/>
    <m/>
    <x v="2"/>
    <x v="0"/>
    <s v="NO"/>
    <s v="NO"/>
  </r>
  <r>
    <n v="944"/>
    <x v="1"/>
    <x v="1"/>
    <s v="Hocking, Miss. Ellen Nellie&quot;&quot;"/>
    <x v="1"/>
    <x v="2"/>
    <n v="20"/>
    <n v="2"/>
    <n v="1"/>
    <s v="29105"/>
    <n v="23"/>
    <m/>
    <x v="1"/>
    <x v="0"/>
    <s v="YES"/>
    <s v="YES"/>
  </r>
  <r>
    <n v="945"/>
    <x v="1"/>
    <x v="2"/>
    <s v="Fortune, Miss. Ethel Flora"/>
    <x v="1"/>
    <x v="2"/>
    <n v="28"/>
    <n v="3"/>
    <n v="2"/>
    <s v="19950"/>
    <n v="263"/>
    <s v="C23 C25 C27"/>
    <x v="1"/>
    <x v="0"/>
    <s v="YES"/>
    <s v="YES"/>
  </r>
  <r>
    <n v="946"/>
    <x v="0"/>
    <x v="1"/>
    <s v="Mangiavacchi, Mr. Serafino Emilio"/>
    <x v="0"/>
    <x v="0"/>
    <n v="30.2"/>
    <n v="0"/>
    <n v="0"/>
    <s v="Sc/A.3 2861"/>
    <n v="15.5792"/>
    <m/>
    <x v="2"/>
    <x v="0"/>
    <s v="NO"/>
    <s v="NO"/>
  </r>
  <r>
    <n v="947"/>
    <x v="0"/>
    <x v="0"/>
    <s v="Rice, Master. Albert"/>
    <x v="0"/>
    <x v="3"/>
    <n v="10"/>
    <n v="4"/>
    <n v="1"/>
    <s v="382652"/>
    <n v="29.125"/>
    <m/>
    <x v="0"/>
    <x v="1"/>
    <s v="YES"/>
    <s v="YES"/>
  </r>
  <r>
    <n v="948"/>
    <x v="0"/>
    <x v="0"/>
    <s v="Cor, Mr. Bartol"/>
    <x v="0"/>
    <x v="0"/>
    <n v="35"/>
    <n v="0"/>
    <n v="0"/>
    <s v="349230"/>
    <n v="7.8958000000000004"/>
    <m/>
    <x v="1"/>
    <x v="0"/>
    <s v="NO"/>
    <s v="NO"/>
  </r>
  <r>
    <n v="949"/>
    <x v="0"/>
    <x v="0"/>
    <s v="Abelseth, Mr. Olaus Jorgensen"/>
    <x v="0"/>
    <x v="2"/>
    <n v="25"/>
    <n v="0"/>
    <n v="0"/>
    <s v="348122"/>
    <n v="7.65"/>
    <s v="F G63"/>
    <x v="1"/>
    <x v="0"/>
    <s v="NO"/>
    <s v="NO"/>
  </r>
  <r>
    <n v="950"/>
    <x v="0"/>
    <x v="0"/>
    <s v="Davison, Mr. Thomas Henry"/>
    <x v="0"/>
    <x v="0"/>
    <n v="30.2"/>
    <n v="1"/>
    <n v="0"/>
    <s v="386525"/>
    <n v="16.100000000000001"/>
    <m/>
    <x v="1"/>
    <x v="0"/>
    <s v="YES"/>
    <s v="NO"/>
  </r>
  <r>
    <n v="951"/>
    <x v="1"/>
    <x v="2"/>
    <s v="Chaudanson, Miss. Victorine"/>
    <x v="1"/>
    <x v="0"/>
    <n v="36"/>
    <n v="0"/>
    <n v="0"/>
    <s v="Pc 17608"/>
    <n v="262.375"/>
    <s v="B61"/>
    <x v="2"/>
    <x v="0"/>
    <s v="NO"/>
    <s v="NO"/>
  </r>
  <r>
    <n v="952"/>
    <x v="0"/>
    <x v="0"/>
    <s v="Dika, Mr. Mirko"/>
    <x v="0"/>
    <x v="3"/>
    <n v="17"/>
    <n v="0"/>
    <n v="0"/>
    <s v="349232"/>
    <n v="7.8958000000000004"/>
    <m/>
    <x v="1"/>
    <x v="1"/>
    <s v="NO"/>
    <s v="NO"/>
  </r>
  <r>
    <n v="953"/>
    <x v="0"/>
    <x v="1"/>
    <s v="McCrae, Mr. Arthur Gordon"/>
    <x v="0"/>
    <x v="0"/>
    <n v="32"/>
    <n v="0"/>
    <n v="0"/>
    <s v="237216"/>
    <n v="13.5"/>
    <m/>
    <x v="1"/>
    <x v="0"/>
    <s v="NO"/>
    <s v="NO"/>
  </r>
  <r>
    <n v="954"/>
    <x v="0"/>
    <x v="0"/>
    <s v="Bjorklund, Mr. Ernst Herbert"/>
    <x v="0"/>
    <x v="2"/>
    <n v="18"/>
    <n v="0"/>
    <n v="0"/>
    <s v="347090"/>
    <n v="7.75"/>
    <m/>
    <x v="1"/>
    <x v="0"/>
    <s v="NO"/>
    <s v="NO"/>
  </r>
  <r>
    <n v="955"/>
    <x v="1"/>
    <x v="0"/>
    <s v="Bradley, Miss. Bridget Delia"/>
    <x v="1"/>
    <x v="2"/>
    <n v="22"/>
    <n v="0"/>
    <n v="0"/>
    <s v="334914"/>
    <n v="7.7249999999999996"/>
    <m/>
    <x v="0"/>
    <x v="0"/>
    <s v="NO"/>
    <s v="NO"/>
  </r>
  <r>
    <n v="956"/>
    <x v="0"/>
    <x v="2"/>
    <s v="Ryerson, Master. John Borie"/>
    <x v="0"/>
    <x v="3"/>
    <n v="13"/>
    <n v="2"/>
    <n v="2"/>
    <s v="Pc 17608"/>
    <n v="262.375"/>
    <s v="B57 B59 B63 B66"/>
    <x v="2"/>
    <x v="1"/>
    <s v="YES"/>
    <s v="YES"/>
  </r>
  <r>
    <n v="957"/>
    <x v="1"/>
    <x v="1"/>
    <s v="Corey, Mrs. Percy C (Mary Phyllis Elizabeth Miller)"/>
    <x v="1"/>
    <x v="0"/>
    <n v="30.2"/>
    <n v="0"/>
    <n v="0"/>
    <s v="F.C.C. 13534"/>
    <n v="21"/>
    <m/>
    <x v="1"/>
    <x v="0"/>
    <s v="NO"/>
    <s v="NO"/>
  </r>
  <r>
    <n v="958"/>
    <x v="1"/>
    <x v="0"/>
    <s v="Burns, Miss. Mary Delia"/>
    <x v="1"/>
    <x v="2"/>
    <n v="18"/>
    <n v="0"/>
    <n v="0"/>
    <s v="330963"/>
    <n v="7.8792"/>
    <m/>
    <x v="0"/>
    <x v="0"/>
    <s v="NO"/>
    <s v="NO"/>
  </r>
  <r>
    <n v="959"/>
    <x v="0"/>
    <x v="2"/>
    <s v="Moore, Mr. Clarence Bloomfield"/>
    <x v="0"/>
    <x v="0"/>
    <n v="47"/>
    <n v="0"/>
    <n v="0"/>
    <s v="113796"/>
    <n v="42.4"/>
    <m/>
    <x v="1"/>
    <x v="0"/>
    <s v="NO"/>
    <s v="NO"/>
  </r>
  <r>
    <n v="960"/>
    <x v="0"/>
    <x v="2"/>
    <s v="Tucker, Mr. Gilbert Milligan Jr"/>
    <x v="0"/>
    <x v="0"/>
    <n v="31"/>
    <n v="0"/>
    <n v="0"/>
    <s v="2543"/>
    <n v="28.537500000000001"/>
    <s v="C53"/>
    <x v="2"/>
    <x v="0"/>
    <s v="NO"/>
    <s v="NO"/>
  </r>
  <r>
    <n v="961"/>
    <x v="1"/>
    <x v="2"/>
    <s v="Fortune, Mrs. Mark (Mary McDougald)"/>
    <x v="1"/>
    <x v="1"/>
    <n v="60"/>
    <n v="1"/>
    <n v="4"/>
    <s v="19950"/>
    <n v="263"/>
    <s v="C23 C25 C27"/>
    <x v="1"/>
    <x v="0"/>
    <s v="YES"/>
    <s v="YES"/>
  </r>
  <r>
    <n v="962"/>
    <x v="1"/>
    <x v="0"/>
    <s v="Mulvihill, Miss. Bertha E"/>
    <x v="1"/>
    <x v="2"/>
    <n v="24"/>
    <n v="0"/>
    <n v="0"/>
    <s v="382653"/>
    <n v="7.75"/>
    <m/>
    <x v="0"/>
    <x v="0"/>
    <s v="NO"/>
    <s v="NO"/>
  </r>
  <r>
    <n v="963"/>
    <x v="0"/>
    <x v="0"/>
    <s v="Minkoff, Mr. Lazar"/>
    <x v="0"/>
    <x v="2"/>
    <n v="21"/>
    <n v="0"/>
    <n v="0"/>
    <s v="349211"/>
    <n v="7.8958000000000004"/>
    <m/>
    <x v="1"/>
    <x v="0"/>
    <s v="NO"/>
    <s v="NO"/>
  </r>
  <r>
    <n v="964"/>
    <x v="1"/>
    <x v="0"/>
    <s v="Nieminen, Miss. Manta Josefina"/>
    <x v="1"/>
    <x v="2"/>
    <n v="29"/>
    <n v="0"/>
    <n v="0"/>
    <s v="3101297"/>
    <n v="7.9249999999999998"/>
    <m/>
    <x v="1"/>
    <x v="0"/>
    <s v="NO"/>
    <s v="NO"/>
  </r>
  <r>
    <n v="965"/>
    <x v="0"/>
    <x v="2"/>
    <s v="Ovies y Rodriguez, Mr. Servando"/>
    <x v="0"/>
    <x v="2"/>
    <n v="28.5"/>
    <n v="0"/>
    <n v="0"/>
    <s v="Pc 17562"/>
    <n v="27.720800000000001"/>
    <s v="D43"/>
    <x v="2"/>
    <x v="0"/>
    <s v="NO"/>
    <s v="NO"/>
  </r>
  <r>
    <n v="966"/>
    <x v="1"/>
    <x v="2"/>
    <s v="Geiger, Miss. Amalie"/>
    <x v="1"/>
    <x v="0"/>
    <n v="35"/>
    <n v="0"/>
    <n v="0"/>
    <s v="113503"/>
    <n v="211.5"/>
    <s v="C130"/>
    <x v="2"/>
    <x v="0"/>
    <s v="NO"/>
    <s v="NO"/>
  </r>
  <r>
    <n v="967"/>
    <x v="0"/>
    <x v="2"/>
    <s v="Keeping, Mr. Edwin"/>
    <x v="0"/>
    <x v="0"/>
    <n v="32.5"/>
    <n v="0"/>
    <n v="0"/>
    <s v="113503"/>
    <n v="211.5"/>
    <s v="C132"/>
    <x v="2"/>
    <x v="0"/>
    <s v="NO"/>
    <s v="NO"/>
  </r>
  <r>
    <n v="968"/>
    <x v="0"/>
    <x v="0"/>
    <s v="Miles, Mr. Frank"/>
    <x v="0"/>
    <x v="0"/>
    <n v="30.2"/>
    <n v="0"/>
    <n v="0"/>
    <s v="359306"/>
    <n v="8.0500000000000007"/>
    <m/>
    <x v="1"/>
    <x v="0"/>
    <s v="NO"/>
    <s v="NO"/>
  </r>
  <r>
    <n v="969"/>
    <x v="1"/>
    <x v="2"/>
    <s v="Cornell, Mrs. Robert Clifford (Malvina Helen Lamson)"/>
    <x v="1"/>
    <x v="0"/>
    <n v="55"/>
    <n v="2"/>
    <n v="0"/>
    <s v="11770"/>
    <n v="25.7"/>
    <s v="C101"/>
    <x v="1"/>
    <x v="0"/>
    <s v="YES"/>
    <s v="NO"/>
  </r>
  <r>
    <n v="970"/>
    <x v="0"/>
    <x v="1"/>
    <s v="Aldworth, Mr. Charles Augustus"/>
    <x v="0"/>
    <x v="0"/>
    <n v="30"/>
    <n v="0"/>
    <n v="0"/>
    <s v="248744"/>
    <n v="13"/>
    <m/>
    <x v="1"/>
    <x v="0"/>
    <s v="NO"/>
    <s v="NO"/>
  </r>
  <r>
    <n v="971"/>
    <x v="1"/>
    <x v="0"/>
    <s v="Doyle, Miss. Elizabeth"/>
    <x v="1"/>
    <x v="2"/>
    <n v="24"/>
    <n v="0"/>
    <n v="0"/>
    <s v="368702"/>
    <n v="7.75"/>
    <m/>
    <x v="0"/>
    <x v="0"/>
    <s v="NO"/>
    <s v="NO"/>
  </r>
  <r>
    <n v="972"/>
    <x v="0"/>
    <x v="0"/>
    <s v="Boulos, Master. Akar"/>
    <x v="0"/>
    <x v="3"/>
    <n v="6"/>
    <n v="1"/>
    <n v="1"/>
    <s v="2678"/>
    <n v="15.245799999999999"/>
    <m/>
    <x v="2"/>
    <x v="1"/>
    <s v="YES"/>
    <s v="YES"/>
  </r>
  <r>
    <n v="973"/>
    <x v="0"/>
    <x v="2"/>
    <s v="Straus, Mr. Isidor"/>
    <x v="0"/>
    <x v="1"/>
    <n v="67"/>
    <n v="1"/>
    <n v="0"/>
    <s v="Pc 17483"/>
    <n v="221.7792"/>
    <s v="C55 C57"/>
    <x v="1"/>
    <x v="0"/>
    <s v="YES"/>
    <s v="NO"/>
  </r>
  <r>
    <n v="974"/>
    <x v="0"/>
    <x v="2"/>
    <s v="Case, Mr. Howard Brown"/>
    <x v="0"/>
    <x v="0"/>
    <n v="49"/>
    <n v="0"/>
    <n v="0"/>
    <s v="19924"/>
    <n v="26"/>
    <m/>
    <x v="1"/>
    <x v="0"/>
    <s v="NO"/>
    <s v="NO"/>
  </r>
  <r>
    <n v="975"/>
    <x v="0"/>
    <x v="0"/>
    <s v="Demetri, Mr. Marinko"/>
    <x v="0"/>
    <x v="0"/>
    <n v="30.2"/>
    <n v="0"/>
    <n v="0"/>
    <s v="349238"/>
    <n v="7.8958000000000004"/>
    <m/>
    <x v="1"/>
    <x v="0"/>
    <s v="NO"/>
    <s v="NO"/>
  </r>
  <r>
    <n v="976"/>
    <x v="0"/>
    <x v="1"/>
    <s v="Lamb, Mr. John Joseph"/>
    <x v="0"/>
    <x v="0"/>
    <n v="30.2"/>
    <n v="0"/>
    <n v="0"/>
    <s v="240261"/>
    <n v="10.708299999999999"/>
    <m/>
    <x v="0"/>
    <x v="0"/>
    <s v="NO"/>
    <s v="NO"/>
  </r>
  <r>
    <n v="977"/>
    <x v="0"/>
    <x v="0"/>
    <s v="Khalil, Mr. Betros"/>
    <x v="0"/>
    <x v="0"/>
    <n v="30.2"/>
    <n v="1"/>
    <n v="0"/>
    <s v="2660"/>
    <n v="14.4542"/>
    <m/>
    <x v="2"/>
    <x v="0"/>
    <s v="YES"/>
    <s v="NO"/>
  </r>
  <r>
    <n v="978"/>
    <x v="1"/>
    <x v="0"/>
    <s v="Barry, Miss. Julia"/>
    <x v="1"/>
    <x v="2"/>
    <n v="27"/>
    <n v="0"/>
    <n v="0"/>
    <s v="330844"/>
    <n v="7.8792"/>
    <m/>
    <x v="0"/>
    <x v="0"/>
    <s v="NO"/>
    <s v="NO"/>
  </r>
  <r>
    <n v="979"/>
    <x v="1"/>
    <x v="0"/>
    <s v="Badman, Miss. Emily Louisa"/>
    <x v="1"/>
    <x v="2"/>
    <n v="18"/>
    <n v="0"/>
    <n v="0"/>
    <s v="A/4 31416"/>
    <n v="8.0500000000000007"/>
    <m/>
    <x v="1"/>
    <x v="0"/>
    <s v="NO"/>
    <s v="NO"/>
  </r>
  <r>
    <n v="980"/>
    <x v="1"/>
    <x v="0"/>
    <s v="O'Donoghue, Ms. Bridget"/>
    <x v="1"/>
    <x v="0"/>
    <n v="30.2"/>
    <n v="0"/>
    <n v="0"/>
    <s v="364856"/>
    <n v="7.75"/>
    <m/>
    <x v="0"/>
    <x v="0"/>
    <s v="NO"/>
    <s v="NO"/>
  </r>
  <r>
    <n v="981"/>
    <x v="0"/>
    <x v="1"/>
    <s v="Wells, Master. Ralph Lester"/>
    <x v="0"/>
    <x v="3"/>
    <n v="2"/>
    <n v="1"/>
    <n v="1"/>
    <s v="29103"/>
    <n v="23"/>
    <m/>
    <x v="1"/>
    <x v="1"/>
    <s v="YES"/>
    <s v="YES"/>
  </r>
  <r>
    <n v="982"/>
    <x v="1"/>
    <x v="0"/>
    <s v="Dyker, Mrs. Adolf Fredrik (Anna Elisabeth Judith Andersson)"/>
    <x v="1"/>
    <x v="2"/>
    <n v="22"/>
    <n v="1"/>
    <n v="0"/>
    <s v="347072"/>
    <n v="13.9"/>
    <m/>
    <x v="1"/>
    <x v="0"/>
    <s v="YES"/>
    <s v="NO"/>
  </r>
  <r>
    <n v="983"/>
    <x v="0"/>
    <x v="0"/>
    <s v="Pedersen, Mr. Olaf"/>
    <x v="0"/>
    <x v="0"/>
    <n v="30.2"/>
    <n v="0"/>
    <n v="0"/>
    <s v="345498"/>
    <n v="7.7750000000000004"/>
    <m/>
    <x v="1"/>
    <x v="0"/>
    <s v="NO"/>
    <s v="NO"/>
  </r>
  <r>
    <n v="984"/>
    <x v="1"/>
    <x v="2"/>
    <s v="Davidson, Mrs. Thornton (Orian Hays)"/>
    <x v="1"/>
    <x v="2"/>
    <n v="27"/>
    <n v="1"/>
    <n v="2"/>
    <s v="F.C. 12750"/>
    <n v="52"/>
    <s v="B71"/>
    <x v="1"/>
    <x v="0"/>
    <s v="YES"/>
    <s v="YES"/>
  </r>
  <r>
    <n v="985"/>
    <x v="0"/>
    <x v="0"/>
    <s v="Guest, Mr. Robert"/>
    <x v="0"/>
    <x v="0"/>
    <n v="30.2"/>
    <n v="0"/>
    <n v="0"/>
    <s v="376563"/>
    <n v="8.0500000000000007"/>
    <m/>
    <x v="1"/>
    <x v="0"/>
    <s v="NO"/>
    <s v="NO"/>
  </r>
  <r>
    <n v="986"/>
    <x v="0"/>
    <x v="2"/>
    <s v="Birnbaum, Mr. Jakob"/>
    <x v="0"/>
    <x v="2"/>
    <n v="25"/>
    <n v="0"/>
    <n v="0"/>
    <s v="13905"/>
    <n v="26"/>
    <m/>
    <x v="2"/>
    <x v="0"/>
    <s v="NO"/>
    <s v="NO"/>
  </r>
  <r>
    <n v="987"/>
    <x v="0"/>
    <x v="0"/>
    <s v="Tenglin, Mr. Gunnar Isidor"/>
    <x v="0"/>
    <x v="2"/>
    <n v="25"/>
    <n v="0"/>
    <n v="0"/>
    <s v="350033"/>
    <n v="7.7957999999999998"/>
    <m/>
    <x v="1"/>
    <x v="0"/>
    <s v="NO"/>
    <s v="NO"/>
  </r>
  <r>
    <n v="988"/>
    <x v="1"/>
    <x v="2"/>
    <s v="Cavendish, Mrs. Tyrell William (Julia Florence Siegel)"/>
    <x v="1"/>
    <x v="1"/>
    <n v="76"/>
    <n v="1"/>
    <n v="0"/>
    <s v="19877"/>
    <n v="78.849999999999994"/>
    <s v="C46"/>
    <x v="1"/>
    <x v="0"/>
    <s v="YES"/>
    <s v="NO"/>
  </r>
  <r>
    <n v="989"/>
    <x v="0"/>
    <x v="0"/>
    <s v="Makinen, Mr. Kalle Edvard"/>
    <x v="0"/>
    <x v="2"/>
    <n v="29"/>
    <n v="0"/>
    <n v="0"/>
    <s v="Ston/O 2. 3101268"/>
    <n v="7.9249999999999998"/>
    <m/>
    <x v="1"/>
    <x v="0"/>
    <s v="NO"/>
    <s v="NO"/>
  </r>
  <r>
    <n v="990"/>
    <x v="1"/>
    <x v="0"/>
    <s v="Braf, Miss. Elin Ester Maria"/>
    <x v="1"/>
    <x v="2"/>
    <n v="20"/>
    <n v="0"/>
    <n v="0"/>
    <s v="347471"/>
    <n v="7.8541999999999996"/>
    <m/>
    <x v="1"/>
    <x v="0"/>
    <s v="NO"/>
    <s v="NO"/>
  </r>
  <r>
    <n v="991"/>
    <x v="0"/>
    <x v="0"/>
    <s v="Nancarrow, Mr. William Henry"/>
    <x v="0"/>
    <x v="0"/>
    <n v="33"/>
    <n v="0"/>
    <n v="0"/>
    <s v="A./5. 3338"/>
    <n v="8.0500000000000007"/>
    <m/>
    <x v="1"/>
    <x v="0"/>
    <s v="NO"/>
    <s v="NO"/>
  </r>
  <r>
    <n v="992"/>
    <x v="1"/>
    <x v="2"/>
    <s v="Stengel, Mrs. Charles Emil Henry (Annie May Morris)"/>
    <x v="1"/>
    <x v="0"/>
    <n v="43"/>
    <n v="1"/>
    <n v="0"/>
    <s v="11778"/>
    <n v="55.441699999999997"/>
    <s v="C116"/>
    <x v="2"/>
    <x v="0"/>
    <s v="YES"/>
    <s v="NO"/>
  </r>
  <r>
    <n v="993"/>
    <x v="0"/>
    <x v="1"/>
    <s v="Weisz, Mr. Leopold"/>
    <x v="0"/>
    <x v="2"/>
    <n v="27"/>
    <n v="1"/>
    <n v="0"/>
    <s v="228414"/>
    <n v="26"/>
    <m/>
    <x v="1"/>
    <x v="0"/>
    <s v="YES"/>
    <s v="NO"/>
  </r>
  <r>
    <n v="994"/>
    <x v="0"/>
    <x v="0"/>
    <s v="Foley, Mr. William"/>
    <x v="0"/>
    <x v="0"/>
    <n v="30.2"/>
    <n v="0"/>
    <n v="0"/>
    <s v="365235"/>
    <n v="7.75"/>
    <m/>
    <x v="0"/>
    <x v="0"/>
    <s v="NO"/>
    <s v="NO"/>
  </r>
  <r>
    <n v="995"/>
    <x v="0"/>
    <x v="0"/>
    <s v="Johansson Palmquist, Mr. Oskar Leander"/>
    <x v="0"/>
    <x v="2"/>
    <n v="26"/>
    <n v="0"/>
    <n v="0"/>
    <s v="347070"/>
    <n v="7.7750000000000004"/>
    <m/>
    <x v="1"/>
    <x v="0"/>
    <s v="NO"/>
    <s v="NO"/>
  </r>
  <r>
    <n v="996"/>
    <x v="1"/>
    <x v="0"/>
    <s v="Thomas, Mrs. Alexander (Thamine Thelma&quot;)&quot;"/>
    <x v="1"/>
    <x v="3"/>
    <n v="16"/>
    <n v="1"/>
    <n v="1"/>
    <s v="2625"/>
    <n v="8.5167000000000002"/>
    <m/>
    <x v="2"/>
    <x v="1"/>
    <s v="YES"/>
    <s v="YES"/>
  </r>
  <r>
    <n v="997"/>
    <x v="0"/>
    <x v="0"/>
    <s v="Holthen, Mr. Johan Martin"/>
    <x v="0"/>
    <x v="2"/>
    <n v="28"/>
    <n v="0"/>
    <n v="0"/>
    <s v="C 4001"/>
    <n v="22.524999999999999"/>
    <m/>
    <x v="1"/>
    <x v="0"/>
    <s v="NO"/>
    <s v="NO"/>
  </r>
  <r>
    <n v="998"/>
    <x v="0"/>
    <x v="0"/>
    <s v="Buckley, Mr. Daniel"/>
    <x v="0"/>
    <x v="2"/>
    <n v="21"/>
    <n v="0"/>
    <n v="0"/>
    <s v="330920"/>
    <n v="7.8208000000000002"/>
    <m/>
    <x v="0"/>
    <x v="0"/>
    <s v="NO"/>
    <s v="NO"/>
  </r>
  <r>
    <n v="999"/>
    <x v="0"/>
    <x v="0"/>
    <s v="Ryan, Mr. Edward"/>
    <x v="0"/>
    <x v="0"/>
    <n v="30.2"/>
    <n v="0"/>
    <n v="0"/>
    <s v="383162"/>
    <n v="7.75"/>
    <m/>
    <x v="0"/>
    <x v="0"/>
    <s v="NO"/>
    <s v="NO"/>
  </r>
  <r>
    <n v="1000"/>
    <x v="0"/>
    <x v="0"/>
    <s v="Willer, Mr. Aaron (Abi Weller&quot;)&quot;"/>
    <x v="0"/>
    <x v="0"/>
    <n v="30.2"/>
    <n v="0"/>
    <n v="0"/>
    <s v="3410"/>
    <n v="8.7125000000000004"/>
    <m/>
    <x v="1"/>
    <x v="0"/>
    <s v="NO"/>
    <s v="NO"/>
  </r>
  <r>
    <n v="1001"/>
    <x v="0"/>
    <x v="1"/>
    <s v="Swane, Mr. George"/>
    <x v="0"/>
    <x v="2"/>
    <n v="18.5"/>
    <n v="0"/>
    <n v="0"/>
    <s v="248734"/>
    <n v="13"/>
    <s v="F"/>
    <x v="1"/>
    <x v="0"/>
    <s v="NO"/>
    <s v="NO"/>
  </r>
  <r>
    <n v="1002"/>
    <x v="0"/>
    <x v="1"/>
    <s v="Stanton, Mr. Samuel Ward"/>
    <x v="0"/>
    <x v="0"/>
    <n v="41"/>
    <n v="0"/>
    <n v="0"/>
    <s v="237734"/>
    <n v="15.0458"/>
    <m/>
    <x v="2"/>
    <x v="0"/>
    <s v="NO"/>
    <s v="NO"/>
  </r>
  <r>
    <n v="1003"/>
    <x v="1"/>
    <x v="0"/>
    <s v="Shine, Miss. Ellen Natalia"/>
    <x v="1"/>
    <x v="0"/>
    <n v="30.2"/>
    <n v="0"/>
    <n v="0"/>
    <s v="330968"/>
    <n v="7.7792000000000003"/>
    <m/>
    <x v="0"/>
    <x v="0"/>
    <s v="NO"/>
    <s v="NO"/>
  </r>
  <r>
    <n v="1004"/>
    <x v="1"/>
    <x v="2"/>
    <s v="Evans, Miss. Edith Corse"/>
    <x v="1"/>
    <x v="0"/>
    <n v="36"/>
    <n v="0"/>
    <n v="0"/>
    <s v="Pc 17531"/>
    <n v="31.679200000000002"/>
    <s v="A29"/>
    <x v="2"/>
    <x v="0"/>
    <s v="NO"/>
    <s v="NO"/>
  </r>
  <r>
    <n v="1005"/>
    <x v="1"/>
    <x v="0"/>
    <s v="Buckley, Miss. Katherine"/>
    <x v="1"/>
    <x v="2"/>
    <n v="18.5"/>
    <n v="0"/>
    <n v="0"/>
    <s v="329944"/>
    <n v="7.2832999999999997"/>
    <m/>
    <x v="0"/>
    <x v="0"/>
    <s v="NO"/>
    <s v="NO"/>
  </r>
  <r>
    <n v="1006"/>
    <x v="1"/>
    <x v="2"/>
    <s v="Straus, Mrs. Isidor (Rosalie Ida Blun)"/>
    <x v="1"/>
    <x v="1"/>
    <n v="63"/>
    <n v="1"/>
    <n v="0"/>
    <s v="Pc 17483"/>
    <n v="221.7792"/>
    <s v="C55 C57"/>
    <x v="1"/>
    <x v="0"/>
    <s v="YES"/>
    <s v="NO"/>
  </r>
  <r>
    <n v="1007"/>
    <x v="0"/>
    <x v="0"/>
    <s v="Chronopoulos, Mr. Demetrios"/>
    <x v="0"/>
    <x v="2"/>
    <n v="18"/>
    <n v="1"/>
    <n v="0"/>
    <s v="2680"/>
    <n v="14.4542"/>
    <m/>
    <x v="2"/>
    <x v="0"/>
    <s v="YES"/>
    <s v="NO"/>
  </r>
  <r>
    <n v="1008"/>
    <x v="0"/>
    <x v="0"/>
    <s v="Thomas, Mr. John"/>
    <x v="0"/>
    <x v="0"/>
    <n v="30.2"/>
    <n v="0"/>
    <n v="0"/>
    <s v="2681"/>
    <n v="6.4375"/>
    <m/>
    <x v="2"/>
    <x v="0"/>
    <s v="NO"/>
    <s v="NO"/>
  </r>
  <r>
    <n v="1009"/>
    <x v="1"/>
    <x v="0"/>
    <s v="Sandstrom, Miss. Beatrice Irene"/>
    <x v="1"/>
    <x v="3"/>
    <n v="1"/>
    <n v="1"/>
    <n v="1"/>
    <s v="Pp 9549"/>
    <n v="16.7"/>
    <s v="G6"/>
    <x v="1"/>
    <x v="1"/>
    <s v="YES"/>
    <s v="YES"/>
  </r>
  <r>
    <n v="1010"/>
    <x v="0"/>
    <x v="2"/>
    <s v="Beattie, Mr. Thomson"/>
    <x v="0"/>
    <x v="0"/>
    <n v="36"/>
    <n v="0"/>
    <n v="0"/>
    <s v="13050"/>
    <n v="75.241699999999994"/>
    <s v="C6"/>
    <x v="2"/>
    <x v="0"/>
    <s v="NO"/>
    <s v="NO"/>
  </r>
  <r>
    <n v="1011"/>
    <x v="1"/>
    <x v="1"/>
    <s v="Chapman, Mrs. John Henry (Sara Elizabeth Lawry)"/>
    <x v="1"/>
    <x v="2"/>
    <n v="29"/>
    <n v="1"/>
    <n v="0"/>
    <s v="Sc/Ah 29037"/>
    <n v="26"/>
    <m/>
    <x v="1"/>
    <x v="0"/>
    <s v="YES"/>
    <s v="NO"/>
  </r>
  <r>
    <n v="1012"/>
    <x v="1"/>
    <x v="1"/>
    <s v="Watt, Miss. Bertha J"/>
    <x v="1"/>
    <x v="3"/>
    <n v="12"/>
    <n v="0"/>
    <n v="0"/>
    <s v="C.A. 33595"/>
    <n v="15.75"/>
    <m/>
    <x v="1"/>
    <x v="1"/>
    <s v="NO"/>
    <s v="NO"/>
  </r>
  <r>
    <n v="1013"/>
    <x v="0"/>
    <x v="0"/>
    <s v="Kiernan, Mr. John"/>
    <x v="0"/>
    <x v="0"/>
    <n v="30.2"/>
    <n v="1"/>
    <n v="0"/>
    <s v="367227"/>
    <n v="7.75"/>
    <m/>
    <x v="0"/>
    <x v="0"/>
    <s v="YES"/>
    <s v="NO"/>
  </r>
  <r>
    <n v="1014"/>
    <x v="1"/>
    <x v="2"/>
    <s v="Schabert, Mrs. Paul (Emma Mock)"/>
    <x v="1"/>
    <x v="0"/>
    <n v="35"/>
    <n v="1"/>
    <n v="0"/>
    <s v="13236"/>
    <n v="57.75"/>
    <s v="C28"/>
    <x v="2"/>
    <x v="0"/>
    <s v="YES"/>
    <s v="NO"/>
  </r>
  <r>
    <n v="1015"/>
    <x v="0"/>
    <x v="0"/>
    <s v="Carver, Mr. Alfred John"/>
    <x v="0"/>
    <x v="2"/>
    <n v="28"/>
    <n v="0"/>
    <n v="0"/>
    <s v="392095"/>
    <n v="7.25"/>
    <m/>
    <x v="1"/>
    <x v="0"/>
    <s v="NO"/>
    <s v="NO"/>
  </r>
  <r>
    <n v="1016"/>
    <x v="0"/>
    <x v="0"/>
    <s v="Kennedy, Mr. John"/>
    <x v="0"/>
    <x v="0"/>
    <n v="30.2"/>
    <n v="0"/>
    <n v="0"/>
    <s v="368783"/>
    <n v="7.75"/>
    <m/>
    <x v="0"/>
    <x v="0"/>
    <s v="NO"/>
    <s v="NO"/>
  </r>
  <r>
    <n v="1017"/>
    <x v="1"/>
    <x v="0"/>
    <s v="Cribb, Miss. Laura Alice"/>
    <x v="1"/>
    <x v="3"/>
    <n v="17"/>
    <n v="0"/>
    <n v="1"/>
    <s v="371362"/>
    <n v="16.100000000000001"/>
    <m/>
    <x v="1"/>
    <x v="1"/>
    <s v="NO"/>
    <s v="YES"/>
  </r>
  <r>
    <n v="1018"/>
    <x v="0"/>
    <x v="0"/>
    <s v="Brobeck, Mr. Karl Rudolf"/>
    <x v="0"/>
    <x v="2"/>
    <n v="22"/>
    <n v="0"/>
    <n v="0"/>
    <s v="350045"/>
    <n v="7.7957999999999998"/>
    <m/>
    <x v="1"/>
    <x v="0"/>
    <s v="NO"/>
    <s v="NO"/>
  </r>
  <r>
    <n v="1019"/>
    <x v="1"/>
    <x v="0"/>
    <s v="McCoy, Miss. Alicia"/>
    <x v="1"/>
    <x v="0"/>
    <n v="30.2"/>
    <n v="2"/>
    <n v="0"/>
    <s v="367226"/>
    <n v="23.25"/>
    <m/>
    <x v="0"/>
    <x v="0"/>
    <s v="YES"/>
    <s v="NO"/>
  </r>
  <r>
    <n v="1020"/>
    <x v="0"/>
    <x v="1"/>
    <s v="Bowenur, Mr. Solomon"/>
    <x v="0"/>
    <x v="0"/>
    <n v="42"/>
    <n v="0"/>
    <n v="0"/>
    <s v="211535"/>
    <n v="13"/>
    <m/>
    <x v="1"/>
    <x v="0"/>
    <s v="NO"/>
    <s v="NO"/>
  </r>
  <r>
    <n v="1021"/>
    <x v="0"/>
    <x v="0"/>
    <s v="Petersen, Mr. Marius"/>
    <x v="0"/>
    <x v="2"/>
    <n v="24"/>
    <n v="0"/>
    <n v="0"/>
    <s v="342441"/>
    <n v="8.0500000000000007"/>
    <m/>
    <x v="1"/>
    <x v="0"/>
    <s v="NO"/>
    <s v="NO"/>
  </r>
  <r>
    <n v="1022"/>
    <x v="0"/>
    <x v="0"/>
    <s v="Spinner, Mr. Henry John"/>
    <x v="0"/>
    <x v="0"/>
    <n v="32"/>
    <n v="0"/>
    <n v="0"/>
    <s v="Ston/Oq. 369943"/>
    <n v="8.0500000000000007"/>
    <m/>
    <x v="1"/>
    <x v="0"/>
    <s v="NO"/>
    <s v="NO"/>
  </r>
  <r>
    <n v="1023"/>
    <x v="0"/>
    <x v="2"/>
    <s v="Gracie, Col. Archibald IV"/>
    <x v="0"/>
    <x v="0"/>
    <n v="53"/>
    <n v="0"/>
    <n v="0"/>
    <s v="113780"/>
    <n v="28.5"/>
    <s v="C51"/>
    <x v="2"/>
    <x v="0"/>
    <s v="NO"/>
    <s v="NO"/>
  </r>
  <r>
    <n v="1024"/>
    <x v="1"/>
    <x v="0"/>
    <s v="Lefebre, Mrs. Frank (Frances)"/>
    <x v="1"/>
    <x v="0"/>
    <n v="30.2"/>
    <n v="0"/>
    <n v="4"/>
    <s v="4133"/>
    <n v="25.466699999999999"/>
    <m/>
    <x v="1"/>
    <x v="0"/>
    <s v="NO"/>
    <s v="YES"/>
  </r>
  <r>
    <n v="1025"/>
    <x v="0"/>
    <x v="0"/>
    <s v="Thomas, Mr. Charles P"/>
    <x v="0"/>
    <x v="0"/>
    <n v="30.2"/>
    <n v="1"/>
    <n v="0"/>
    <s v="2621"/>
    <n v="6.4375"/>
    <m/>
    <x v="2"/>
    <x v="0"/>
    <s v="YES"/>
    <s v="NO"/>
  </r>
  <r>
    <n v="1026"/>
    <x v="0"/>
    <x v="0"/>
    <s v="Dintcheff, Mr. Valtcho"/>
    <x v="0"/>
    <x v="0"/>
    <n v="43"/>
    <n v="0"/>
    <n v="0"/>
    <s v="349226"/>
    <n v="7.8958000000000004"/>
    <m/>
    <x v="1"/>
    <x v="0"/>
    <s v="NO"/>
    <s v="NO"/>
  </r>
  <r>
    <n v="1027"/>
    <x v="0"/>
    <x v="0"/>
    <s v="Carlsson, Mr. Carl Robert"/>
    <x v="0"/>
    <x v="2"/>
    <n v="24"/>
    <n v="0"/>
    <n v="0"/>
    <s v="350409"/>
    <n v="7.8541999999999996"/>
    <m/>
    <x v="1"/>
    <x v="0"/>
    <s v="NO"/>
    <s v="NO"/>
  </r>
  <r>
    <n v="1028"/>
    <x v="0"/>
    <x v="0"/>
    <s v="Zakarian, Mr. Mapriededer"/>
    <x v="0"/>
    <x v="2"/>
    <n v="26.5"/>
    <n v="0"/>
    <n v="0"/>
    <s v="2656"/>
    <n v="7.2249999999999996"/>
    <m/>
    <x v="2"/>
    <x v="0"/>
    <s v="NO"/>
    <s v="NO"/>
  </r>
  <r>
    <n v="1029"/>
    <x v="0"/>
    <x v="1"/>
    <s v="Schmidt, Mr. August"/>
    <x v="0"/>
    <x v="2"/>
    <n v="26"/>
    <n v="0"/>
    <n v="0"/>
    <s v="248659"/>
    <n v="13"/>
    <m/>
    <x v="1"/>
    <x v="0"/>
    <s v="NO"/>
    <s v="NO"/>
  </r>
  <r>
    <n v="1030"/>
    <x v="1"/>
    <x v="0"/>
    <s v="Drapkin, Miss. Jennie"/>
    <x v="1"/>
    <x v="2"/>
    <n v="23"/>
    <n v="0"/>
    <n v="0"/>
    <s v="Soton/Oq 392083"/>
    <n v="8.0500000000000007"/>
    <m/>
    <x v="1"/>
    <x v="0"/>
    <s v="NO"/>
    <s v="NO"/>
  </r>
  <r>
    <n v="1031"/>
    <x v="0"/>
    <x v="0"/>
    <s v="Goodwin, Mr. Charles Frederick"/>
    <x v="0"/>
    <x v="0"/>
    <n v="40"/>
    <n v="1"/>
    <n v="6"/>
    <s v="Ca 2144"/>
    <n v="46.9"/>
    <m/>
    <x v="1"/>
    <x v="0"/>
    <s v="YES"/>
    <s v="YES"/>
  </r>
  <r>
    <n v="1032"/>
    <x v="1"/>
    <x v="0"/>
    <s v="Goodwin, Miss. Jessie Allis"/>
    <x v="1"/>
    <x v="3"/>
    <n v="10"/>
    <n v="5"/>
    <n v="2"/>
    <s v="Ca 2144"/>
    <n v="46.9"/>
    <m/>
    <x v="1"/>
    <x v="1"/>
    <s v="YES"/>
    <s v="YES"/>
  </r>
  <r>
    <n v="1033"/>
    <x v="1"/>
    <x v="2"/>
    <s v="Daniels, Miss. Sarah"/>
    <x v="1"/>
    <x v="0"/>
    <n v="33"/>
    <n v="0"/>
    <n v="0"/>
    <s v="113781"/>
    <n v="151.55000000000001"/>
    <m/>
    <x v="1"/>
    <x v="0"/>
    <s v="NO"/>
    <s v="NO"/>
  </r>
  <r>
    <n v="1034"/>
    <x v="0"/>
    <x v="2"/>
    <s v="Ryerson, Mr. Arthur Larned"/>
    <x v="0"/>
    <x v="1"/>
    <n v="61"/>
    <n v="1"/>
    <n v="3"/>
    <s v="Pc 17608"/>
    <n v="262.375"/>
    <s v="B57 B59 B63 B66"/>
    <x v="2"/>
    <x v="0"/>
    <s v="YES"/>
    <s v="YES"/>
  </r>
  <r>
    <n v="1035"/>
    <x v="0"/>
    <x v="1"/>
    <s v="Beauchamp, Mr. Henry James"/>
    <x v="0"/>
    <x v="2"/>
    <n v="28"/>
    <n v="0"/>
    <n v="0"/>
    <s v="244358"/>
    <n v="26"/>
    <m/>
    <x v="1"/>
    <x v="0"/>
    <s v="NO"/>
    <s v="NO"/>
  </r>
  <r>
    <n v="1036"/>
    <x v="0"/>
    <x v="2"/>
    <s v="Lindeberg-Lind, Mr. Erik Gustaf (Mr Edward Lingrey&quot;)&quot;"/>
    <x v="0"/>
    <x v="0"/>
    <n v="42"/>
    <n v="0"/>
    <n v="0"/>
    <s v="17475"/>
    <n v="26.55"/>
    <m/>
    <x v="1"/>
    <x v="0"/>
    <s v="NO"/>
    <s v="NO"/>
  </r>
  <r>
    <n v="1037"/>
    <x v="0"/>
    <x v="0"/>
    <s v="Vander Planke, Mr. Julius"/>
    <x v="0"/>
    <x v="0"/>
    <n v="31"/>
    <n v="3"/>
    <n v="0"/>
    <s v="345763"/>
    <n v="18"/>
    <m/>
    <x v="1"/>
    <x v="0"/>
    <s v="YES"/>
    <s v="NO"/>
  </r>
  <r>
    <n v="1038"/>
    <x v="0"/>
    <x v="2"/>
    <s v="Hilliard, Mr. Herbert Henry"/>
    <x v="0"/>
    <x v="0"/>
    <n v="30.2"/>
    <n v="0"/>
    <n v="0"/>
    <s v="17463"/>
    <n v="51.862499999999997"/>
    <s v="E46"/>
    <x v="1"/>
    <x v="0"/>
    <s v="NO"/>
    <s v="NO"/>
  </r>
  <r>
    <n v="1039"/>
    <x v="0"/>
    <x v="0"/>
    <s v="Davies, Mr. Evan"/>
    <x v="0"/>
    <x v="2"/>
    <n v="22"/>
    <n v="0"/>
    <n v="0"/>
    <s v="Sc/A4 23568"/>
    <n v="8.0500000000000007"/>
    <m/>
    <x v="1"/>
    <x v="0"/>
    <s v="NO"/>
    <s v="NO"/>
  </r>
  <r>
    <n v="1040"/>
    <x v="0"/>
    <x v="2"/>
    <s v="Crafton, Mr. John Bertram"/>
    <x v="0"/>
    <x v="0"/>
    <n v="30.2"/>
    <n v="0"/>
    <n v="0"/>
    <s v="113791"/>
    <n v="26.55"/>
    <m/>
    <x v="1"/>
    <x v="0"/>
    <s v="NO"/>
    <s v="NO"/>
  </r>
  <r>
    <n v="1041"/>
    <x v="0"/>
    <x v="1"/>
    <s v="Lahtinen, Rev. William"/>
    <x v="0"/>
    <x v="0"/>
    <n v="30"/>
    <n v="1"/>
    <n v="1"/>
    <s v="250651"/>
    <n v="26"/>
    <m/>
    <x v="1"/>
    <x v="0"/>
    <s v="YES"/>
    <s v="YES"/>
  </r>
  <r>
    <n v="1042"/>
    <x v="1"/>
    <x v="2"/>
    <s v="Earnshaw, Mrs. Boulton (Olive Potter)"/>
    <x v="1"/>
    <x v="2"/>
    <n v="23"/>
    <n v="0"/>
    <n v="1"/>
    <s v="11767"/>
    <n v="83.158299999999997"/>
    <s v="C54"/>
    <x v="2"/>
    <x v="0"/>
    <s v="NO"/>
    <s v="YES"/>
  </r>
  <r>
    <n v="1043"/>
    <x v="0"/>
    <x v="0"/>
    <s v="Matinoff, Mr. Nicola"/>
    <x v="0"/>
    <x v="0"/>
    <n v="30.2"/>
    <n v="0"/>
    <n v="0"/>
    <s v="349255"/>
    <n v="7.8958000000000004"/>
    <m/>
    <x v="2"/>
    <x v="0"/>
    <s v="NO"/>
    <s v="NO"/>
  </r>
  <r>
    <n v="1044"/>
    <x v="0"/>
    <x v="0"/>
    <s v="Storey, Mr. Thomas"/>
    <x v="0"/>
    <x v="1"/>
    <n v="60.5"/>
    <n v="0"/>
    <n v="0"/>
    <s v="3701"/>
    <m/>
    <m/>
    <x v="1"/>
    <x v="0"/>
    <s v="NO"/>
    <s v="NO"/>
  </r>
  <r>
    <n v="1045"/>
    <x v="1"/>
    <x v="0"/>
    <s v="Klasen, Mrs. (Hulda Kristina Eugenia Lofqvist)"/>
    <x v="1"/>
    <x v="0"/>
    <n v="36"/>
    <n v="0"/>
    <n v="2"/>
    <s v="350405"/>
    <n v="12.183299999999999"/>
    <m/>
    <x v="1"/>
    <x v="0"/>
    <s v="NO"/>
    <s v="YES"/>
  </r>
  <r>
    <n v="1046"/>
    <x v="0"/>
    <x v="0"/>
    <s v="Asplund, Master. Filip Oscar"/>
    <x v="0"/>
    <x v="3"/>
    <n v="13"/>
    <n v="4"/>
    <n v="2"/>
    <s v="347077"/>
    <n v="31.387499999999999"/>
    <m/>
    <x v="1"/>
    <x v="1"/>
    <s v="YES"/>
    <s v="YES"/>
  </r>
  <r>
    <n v="1047"/>
    <x v="0"/>
    <x v="0"/>
    <s v="Duquemin, Mr. Joseph"/>
    <x v="0"/>
    <x v="2"/>
    <n v="24"/>
    <n v="0"/>
    <n v="0"/>
    <s v="S.O./P.P. 752"/>
    <n v="7.55"/>
    <m/>
    <x v="1"/>
    <x v="0"/>
    <s v="NO"/>
    <s v="NO"/>
  </r>
  <r>
    <n v="1048"/>
    <x v="1"/>
    <x v="2"/>
    <s v="Bird, Miss. Ellen"/>
    <x v="1"/>
    <x v="2"/>
    <n v="29"/>
    <n v="0"/>
    <n v="0"/>
    <s v="Pc 17483"/>
    <n v="221.7792"/>
    <s v="C97"/>
    <x v="1"/>
    <x v="0"/>
    <s v="NO"/>
    <s v="NO"/>
  </r>
  <r>
    <n v="1049"/>
    <x v="1"/>
    <x v="0"/>
    <s v="Lundin, Miss. Olga Elida"/>
    <x v="1"/>
    <x v="2"/>
    <n v="23"/>
    <n v="0"/>
    <n v="0"/>
    <s v="347469"/>
    <n v="7.8541999999999996"/>
    <m/>
    <x v="1"/>
    <x v="0"/>
    <s v="NO"/>
    <s v="NO"/>
  </r>
  <r>
    <n v="1050"/>
    <x v="0"/>
    <x v="2"/>
    <s v="Borebank, Mr. John James"/>
    <x v="0"/>
    <x v="0"/>
    <n v="42"/>
    <n v="0"/>
    <n v="0"/>
    <s v="110489"/>
    <n v="26.55"/>
    <s v="D22"/>
    <x v="1"/>
    <x v="0"/>
    <s v="NO"/>
    <s v="NO"/>
  </r>
  <r>
    <n v="1051"/>
    <x v="1"/>
    <x v="0"/>
    <s v="Peacock, Mrs. Benjamin (Edith Nile)"/>
    <x v="1"/>
    <x v="2"/>
    <n v="26"/>
    <n v="0"/>
    <n v="2"/>
    <s v="Soton/O.Q. 3101315"/>
    <n v="13.775"/>
    <m/>
    <x v="1"/>
    <x v="0"/>
    <s v="NO"/>
    <s v="YES"/>
  </r>
  <r>
    <n v="1052"/>
    <x v="1"/>
    <x v="0"/>
    <s v="Smyth, Miss. Julia"/>
    <x v="1"/>
    <x v="0"/>
    <n v="30.2"/>
    <n v="0"/>
    <n v="0"/>
    <s v="335432"/>
    <n v="7.7332999999999998"/>
    <m/>
    <x v="0"/>
    <x v="0"/>
    <s v="NO"/>
    <s v="NO"/>
  </r>
  <r>
    <n v="1053"/>
    <x v="0"/>
    <x v="0"/>
    <s v="Touma, Master. Georges Youssef"/>
    <x v="0"/>
    <x v="3"/>
    <n v="7"/>
    <n v="1"/>
    <n v="1"/>
    <s v="2650"/>
    <n v="15.245799999999999"/>
    <m/>
    <x v="2"/>
    <x v="1"/>
    <s v="YES"/>
    <s v="YES"/>
  </r>
  <r>
    <n v="1054"/>
    <x v="1"/>
    <x v="1"/>
    <s v="Wright, Miss. Marion"/>
    <x v="1"/>
    <x v="2"/>
    <n v="26"/>
    <n v="0"/>
    <n v="0"/>
    <s v="220844"/>
    <n v="13.5"/>
    <m/>
    <x v="1"/>
    <x v="0"/>
    <s v="NO"/>
    <s v="NO"/>
  </r>
  <r>
    <n v="1055"/>
    <x v="0"/>
    <x v="0"/>
    <s v="Pearce, Mr. Ernest"/>
    <x v="0"/>
    <x v="0"/>
    <n v="30.2"/>
    <n v="0"/>
    <n v="0"/>
    <s v="343271"/>
    <n v="7"/>
    <m/>
    <x v="1"/>
    <x v="0"/>
    <s v="NO"/>
    <s v="NO"/>
  </r>
  <r>
    <n v="1056"/>
    <x v="0"/>
    <x v="1"/>
    <s v="Peruschitz, Rev. Joseph Maria"/>
    <x v="0"/>
    <x v="0"/>
    <n v="41"/>
    <n v="0"/>
    <n v="0"/>
    <s v="237393"/>
    <n v="13"/>
    <m/>
    <x v="1"/>
    <x v="0"/>
    <s v="NO"/>
    <s v="NO"/>
  </r>
  <r>
    <n v="1057"/>
    <x v="1"/>
    <x v="0"/>
    <s v="Kink-Heilmann, Mrs. Anton (Luise Heilmann)"/>
    <x v="1"/>
    <x v="2"/>
    <n v="26"/>
    <n v="1"/>
    <n v="1"/>
    <s v="315153"/>
    <n v="22.024999999999999"/>
    <m/>
    <x v="1"/>
    <x v="0"/>
    <s v="YES"/>
    <s v="YES"/>
  </r>
  <r>
    <n v="1058"/>
    <x v="0"/>
    <x v="2"/>
    <s v="Brandeis, Mr. Emil"/>
    <x v="0"/>
    <x v="0"/>
    <n v="48"/>
    <n v="0"/>
    <n v="0"/>
    <s v="Pc 17591"/>
    <n v="50.495800000000003"/>
    <s v="B10"/>
    <x v="2"/>
    <x v="0"/>
    <s v="NO"/>
    <s v="NO"/>
  </r>
  <r>
    <n v="1059"/>
    <x v="0"/>
    <x v="0"/>
    <s v="Ford, Mr. Edward Watson"/>
    <x v="0"/>
    <x v="2"/>
    <n v="18"/>
    <n v="2"/>
    <n v="2"/>
    <s v="W./C. 6608"/>
    <n v="34.375"/>
    <m/>
    <x v="1"/>
    <x v="0"/>
    <s v="YES"/>
    <s v="YES"/>
  </r>
  <r>
    <n v="1060"/>
    <x v="1"/>
    <x v="2"/>
    <s v="Cassebeer, Mrs. Henry Arthur Jr (Eleanor Genevieve Fosdick)"/>
    <x v="1"/>
    <x v="0"/>
    <n v="30.2"/>
    <n v="0"/>
    <n v="0"/>
    <s v="17770"/>
    <n v="27.720800000000001"/>
    <m/>
    <x v="2"/>
    <x v="0"/>
    <s v="NO"/>
    <s v="NO"/>
  </r>
  <r>
    <n v="1061"/>
    <x v="1"/>
    <x v="0"/>
    <s v="Hellstrom, Miss. Hilda Maria"/>
    <x v="1"/>
    <x v="2"/>
    <n v="22"/>
    <n v="0"/>
    <n v="0"/>
    <s v="7548"/>
    <n v="8.9625000000000004"/>
    <m/>
    <x v="1"/>
    <x v="0"/>
    <s v="NO"/>
    <s v="NO"/>
  </r>
  <r>
    <n v="1062"/>
    <x v="0"/>
    <x v="0"/>
    <s v="Lithman, Mr. Simon"/>
    <x v="0"/>
    <x v="0"/>
    <n v="30.2"/>
    <n v="0"/>
    <n v="0"/>
    <s v="S.O./P.P. 251"/>
    <n v="7.55"/>
    <m/>
    <x v="1"/>
    <x v="0"/>
    <s v="NO"/>
    <s v="NO"/>
  </r>
  <r>
    <n v="1063"/>
    <x v="0"/>
    <x v="0"/>
    <s v="Zakarian, Mr. Ortin"/>
    <x v="0"/>
    <x v="2"/>
    <n v="27"/>
    <n v="0"/>
    <n v="0"/>
    <s v="2670"/>
    <n v="7.2249999999999996"/>
    <m/>
    <x v="2"/>
    <x v="0"/>
    <s v="NO"/>
    <s v="NO"/>
  </r>
  <r>
    <n v="1064"/>
    <x v="0"/>
    <x v="0"/>
    <s v="Dyker, Mr. Adolf Fredrik"/>
    <x v="0"/>
    <x v="2"/>
    <n v="23"/>
    <n v="1"/>
    <n v="0"/>
    <s v="347072"/>
    <n v="13.9"/>
    <m/>
    <x v="1"/>
    <x v="0"/>
    <s v="YES"/>
    <s v="NO"/>
  </r>
  <r>
    <n v="1065"/>
    <x v="0"/>
    <x v="0"/>
    <s v="Torfa, Mr. Assad"/>
    <x v="0"/>
    <x v="0"/>
    <n v="30.2"/>
    <n v="0"/>
    <n v="0"/>
    <s v="2673"/>
    <n v="7.2291999999999996"/>
    <m/>
    <x v="2"/>
    <x v="0"/>
    <s v="NO"/>
    <s v="NO"/>
  </r>
  <r>
    <n v="1066"/>
    <x v="0"/>
    <x v="0"/>
    <s v="Asplund, Mr. Carl Oscar Vilhelm Gustafsson"/>
    <x v="0"/>
    <x v="0"/>
    <n v="40"/>
    <n v="1"/>
    <n v="5"/>
    <s v="347077"/>
    <n v="31.387499999999999"/>
    <m/>
    <x v="1"/>
    <x v="0"/>
    <s v="YES"/>
    <s v="YES"/>
  </r>
  <r>
    <n v="1067"/>
    <x v="1"/>
    <x v="1"/>
    <s v="Brown, Miss. Edith Eileen"/>
    <x v="1"/>
    <x v="3"/>
    <n v="15"/>
    <n v="0"/>
    <n v="2"/>
    <s v="29750"/>
    <n v="39"/>
    <m/>
    <x v="1"/>
    <x v="1"/>
    <s v="NO"/>
    <s v="YES"/>
  </r>
  <r>
    <n v="1068"/>
    <x v="1"/>
    <x v="1"/>
    <s v="Sincock, Miss. Maude"/>
    <x v="1"/>
    <x v="2"/>
    <n v="20"/>
    <n v="0"/>
    <n v="0"/>
    <s v="C.A. 33112"/>
    <n v="36.75"/>
    <m/>
    <x v="1"/>
    <x v="0"/>
    <s v="NO"/>
    <s v="NO"/>
  </r>
  <r>
    <n v="1069"/>
    <x v="0"/>
    <x v="2"/>
    <s v="Stengel, Mr. Charles Emil Henry"/>
    <x v="0"/>
    <x v="0"/>
    <n v="54"/>
    <n v="1"/>
    <n v="0"/>
    <s v="11778"/>
    <n v="55.441699999999997"/>
    <s v="C116"/>
    <x v="2"/>
    <x v="0"/>
    <s v="YES"/>
    <s v="NO"/>
  </r>
  <r>
    <n v="1070"/>
    <x v="1"/>
    <x v="1"/>
    <s v="Becker, Mrs. Allen Oliver (Nellie E Baumgardner)"/>
    <x v="1"/>
    <x v="0"/>
    <n v="36"/>
    <n v="0"/>
    <n v="3"/>
    <s v="230136"/>
    <n v="39"/>
    <s v="F4"/>
    <x v="1"/>
    <x v="0"/>
    <s v="NO"/>
    <s v="YES"/>
  </r>
  <r>
    <n v="1071"/>
    <x v="1"/>
    <x v="2"/>
    <s v="Compton, Mrs. Alexander Taylor (Mary Eliza Ingersoll)"/>
    <x v="1"/>
    <x v="1"/>
    <n v="64"/>
    <n v="0"/>
    <n v="2"/>
    <s v="Pc 17756"/>
    <n v="83.158299999999997"/>
    <s v="E45"/>
    <x v="2"/>
    <x v="0"/>
    <s v="NO"/>
    <s v="YES"/>
  </r>
  <r>
    <n v="1072"/>
    <x v="0"/>
    <x v="1"/>
    <s v="McCrie, Mr. James Matthew"/>
    <x v="0"/>
    <x v="0"/>
    <n v="30"/>
    <n v="0"/>
    <n v="0"/>
    <s v="233478"/>
    <n v="13"/>
    <m/>
    <x v="1"/>
    <x v="0"/>
    <s v="NO"/>
    <s v="NO"/>
  </r>
  <r>
    <n v="1073"/>
    <x v="0"/>
    <x v="2"/>
    <s v="Compton, Mr. Alexander Taylor Jr"/>
    <x v="0"/>
    <x v="0"/>
    <n v="37"/>
    <n v="1"/>
    <n v="1"/>
    <s v="Pc 17756"/>
    <n v="83.158299999999997"/>
    <s v="E52"/>
    <x v="2"/>
    <x v="0"/>
    <s v="YES"/>
    <s v="YES"/>
  </r>
  <r>
    <n v="1074"/>
    <x v="1"/>
    <x v="2"/>
    <s v="Marvin, Mrs. Daniel Warner (Mary Graham Carmichael Farquarson)"/>
    <x v="1"/>
    <x v="2"/>
    <n v="18"/>
    <n v="1"/>
    <n v="0"/>
    <s v="113773"/>
    <n v="53.1"/>
    <s v="D30"/>
    <x v="1"/>
    <x v="0"/>
    <s v="YES"/>
    <s v="NO"/>
  </r>
  <r>
    <n v="1075"/>
    <x v="0"/>
    <x v="0"/>
    <s v="Lane, Mr. Patrick"/>
    <x v="0"/>
    <x v="0"/>
    <n v="30.2"/>
    <n v="0"/>
    <n v="0"/>
    <s v="7935"/>
    <n v="7.75"/>
    <m/>
    <x v="0"/>
    <x v="0"/>
    <s v="NO"/>
    <s v="NO"/>
  </r>
  <r>
    <n v="1076"/>
    <x v="1"/>
    <x v="2"/>
    <s v="Douglas, Mrs. Frederick Charles (Mary Helene Baxter)"/>
    <x v="1"/>
    <x v="2"/>
    <n v="27"/>
    <n v="1"/>
    <n v="1"/>
    <s v="Pc 17558"/>
    <n v="247.52080000000001"/>
    <s v="B58 B60"/>
    <x v="2"/>
    <x v="0"/>
    <s v="YES"/>
    <s v="YES"/>
  </r>
  <r>
    <n v="1077"/>
    <x v="0"/>
    <x v="1"/>
    <s v="Maybery, Mr. Frank Hubert"/>
    <x v="0"/>
    <x v="0"/>
    <n v="40"/>
    <n v="0"/>
    <n v="0"/>
    <s v="239059"/>
    <n v="16"/>
    <m/>
    <x v="1"/>
    <x v="0"/>
    <s v="NO"/>
    <s v="NO"/>
  </r>
  <r>
    <n v="1078"/>
    <x v="1"/>
    <x v="1"/>
    <s v="Phillips, Miss. Alice Frances Louisa"/>
    <x v="1"/>
    <x v="2"/>
    <n v="21"/>
    <n v="0"/>
    <n v="1"/>
    <s v="S.O./P.P. 2"/>
    <n v="21"/>
    <m/>
    <x v="1"/>
    <x v="0"/>
    <s v="NO"/>
    <s v="YES"/>
  </r>
  <r>
    <n v="1079"/>
    <x v="0"/>
    <x v="0"/>
    <s v="Davies, Mr. Joseph"/>
    <x v="0"/>
    <x v="3"/>
    <n v="17"/>
    <n v="2"/>
    <n v="0"/>
    <s v="A/4 48873"/>
    <n v="8.0500000000000007"/>
    <m/>
    <x v="1"/>
    <x v="1"/>
    <s v="YES"/>
    <s v="NO"/>
  </r>
  <r>
    <n v="1080"/>
    <x v="1"/>
    <x v="0"/>
    <s v="Sage, Miss. Ada"/>
    <x v="1"/>
    <x v="0"/>
    <n v="30.2"/>
    <n v="8"/>
    <n v="2"/>
    <s v="Ca. 2343"/>
    <n v="69.55"/>
    <m/>
    <x v="1"/>
    <x v="0"/>
    <s v="YES"/>
    <s v="YES"/>
  </r>
  <r>
    <n v="1081"/>
    <x v="0"/>
    <x v="1"/>
    <s v="Veal, Mr. James"/>
    <x v="0"/>
    <x v="0"/>
    <n v="40"/>
    <n v="0"/>
    <n v="0"/>
    <s v="28221"/>
    <n v="13"/>
    <m/>
    <x v="1"/>
    <x v="0"/>
    <s v="NO"/>
    <s v="NO"/>
  </r>
  <r>
    <n v="1082"/>
    <x v="0"/>
    <x v="1"/>
    <s v="Angle, Mr. William A"/>
    <x v="0"/>
    <x v="0"/>
    <n v="34"/>
    <n v="1"/>
    <n v="0"/>
    <s v="226875"/>
    <n v="26"/>
    <m/>
    <x v="1"/>
    <x v="0"/>
    <s v="YES"/>
    <s v="NO"/>
  </r>
  <r>
    <n v="1083"/>
    <x v="0"/>
    <x v="2"/>
    <s v="Salomon, Mr. Abraham L"/>
    <x v="0"/>
    <x v="0"/>
    <n v="30.2"/>
    <n v="0"/>
    <n v="0"/>
    <s v="111163"/>
    <n v="26"/>
    <m/>
    <x v="1"/>
    <x v="0"/>
    <s v="NO"/>
    <s v="NO"/>
  </r>
  <r>
    <n v="1084"/>
    <x v="0"/>
    <x v="0"/>
    <s v="van Billiard, Master. Walter John"/>
    <x v="0"/>
    <x v="3"/>
    <n v="11.5"/>
    <n v="1"/>
    <n v="1"/>
    <s v="A/5. 851"/>
    <n v="14.5"/>
    <m/>
    <x v="1"/>
    <x v="1"/>
    <s v="YES"/>
    <s v="YES"/>
  </r>
  <r>
    <n v="1085"/>
    <x v="0"/>
    <x v="1"/>
    <s v="Lingane, Mr. John"/>
    <x v="0"/>
    <x v="1"/>
    <n v="61"/>
    <n v="0"/>
    <n v="0"/>
    <s v="235509"/>
    <n v="12.35"/>
    <m/>
    <x v="0"/>
    <x v="0"/>
    <s v="NO"/>
    <s v="NO"/>
  </r>
  <r>
    <n v="1086"/>
    <x v="0"/>
    <x v="1"/>
    <s v="Drew, Master. Marshall Brines"/>
    <x v="0"/>
    <x v="3"/>
    <n v="8"/>
    <n v="0"/>
    <n v="2"/>
    <s v="28220"/>
    <n v="32.5"/>
    <m/>
    <x v="1"/>
    <x v="1"/>
    <s v="NO"/>
    <s v="YES"/>
  </r>
  <r>
    <n v="1087"/>
    <x v="0"/>
    <x v="0"/>
    <s v="Karlsson, Mr. Julius Konrad Eugen"/>
    <x v="0"/>
    <x v="0"/>
    <n v="33"/>
    <n v="0"/>
    <n v="0"/>
    <s v="347465"/>
    <n v="7.8541999999999996"/>
    <m/>
    <x v="1"/>
    <x v="0"/>
    <s v="NO"/>
    <s v="NO"/>
  </r>
  <r>
    <n v="1088"/>
    <x v="0"/>
    <x v="2"/>
    <s v="Spedden, Master. Robert Douglas"/>
    <x v="0"/>
    <x v="3"/>
    <n v="6"/>
    <n v="0"/>
    <n v="2"/>
    <s v="16966"/>
    <n v="134.5"/>
    <s v="E34"/>
    <x v="2"/>
    <x v="1"/>
    <s v="NO"/>
    <s v="YES"/>
  </r>
  <r>
    <n v="1089"/>
    <x v="1"/>
    <x v="0"/>
    <s v="Nilsson, Miss. Berta Olivia"/>
    <x v="1"/>
    <x v="2"/>
    <n v="18"/>
    <n v="0"/>
    <n v="0"/>
    <s v="347066"/>
    <n v="7.7750000000000004"/>
    <m/>
    <x v="1"/>
    <x v="0"/>
    <s v="NO"/>
    <s v="NO"/>
  </r>
  <r>
    <n v="1090"/>
    <x v="0"/>
    <x v="1"/>
    <s v="Baimbrigge, Mr. Charles Robert"/>
    <x v="0"/>
    <x v="2"/>
    <n v="23"/>
    <n v="0"/>
    <n v="0"/>
    <s v="C.A. 31030"/>
    <n v="10.5"/>
    <m/>
    <x v="1"/>
    <x v="0"/>
    <s v="NO"/>
    <s v="NO"/>
  </r>
  <r>
    <n v="1091"/>
    <x v="1"/>
    <x v="0"/>
    <s v="Rasmussen, Mrs. (Lena Jacobsen Solvang)"/>
    <x v="1"/>
    <x v="0"/>
    <n v="30.2"/>
    <n v="0"/>
    <n v="0"/>
    <s v="65305"/>
    <n v="8.1125000000000007"/>
    <m/>
    <x v="1"/>
    <x v="0"/>
    <s v="NO"/>
    <s v="NO"/>
  </r>
  <r>
    <n v="1092"/>
    <x v="1"/>
    <x v="0"/>
    <s v="Murphy, Miss. Nora"/>
    <x v="1"/>
    <x v="0"/>
    <n v="30.2"/>
    <n v="0"/>
    <n v="0"/>
    <s v="36568"/>
    <n v="15.5"/>
    <m/>
    <x v="0"/>
    <x v="0"/>
    <s v="NO"/>
    <s v="NO"/>
  </r>
  <r>
    <n v="1093"/>
    <x v="0"/>
    <x v="0"/>
    <s v="Danbom, Master. Gilbert Sigvard Emanuel"/>
    <x v="0"/>
    <x v="3"/>
    <n v="0.33"/>
    <n v="0"/>
    <n v="2"/>
    <s v="347080"/>
    <n v="14.4"/>
    <m/>
    <x v="1"/>
    <x v="1"/>
    <s v="NO"/>
    <s v="YES"/>
  </r>
  <r>
    <n v="1094"/>
    <x v="0"/>
    <x v="2"/>
    <s v="Astor, Col. John Jacob"/>
    <x v="0"/>
    <x v="0"/>
    <n v="47"/>
    <n v="1"/>
    <n v="0"/>
    <s v="Pc 17757"/>
    <n v="227.52500000000001"/>
    <s v="C62 C64"/>
    <x v="2"/>
    <x v="0"/>
    <s v="YES"/>
    <s v="NO"/>
  </r>
  <r>
    <n v="1095"/>
    <x v="1"/>
    <x v="1"/>
    <s v="Quick, Miss. Winifred Vera"/>
    <x v="1"/>
    <x v="3"/>
    <n v="8"/>
    <n v="1"/>
    <n v="1"/>
    <s v="26360"/>
    <n v="26"/>
    <m/>
    <x v="1"/>
    <x v="1"/>
    <s v="YES"/>
    <s v="YES"/>
  </r>
  <r>
    <n v="1096"/>
    <x v="0"/>
    <x v="1"/>
    <s v="Andrew, Mr. Frank Thomas"/>
    <x v="0"/>
    <x v="2"/>
    <n v="25"/>
    <n v="0"/>
    <n v="0"/>
    <s v="C.A. 34050"/>
    <n v="10.5"/>
    <m/>
    <x v="1"/>
    <x v="0"/>
    <s v="NO"/>
    <s v="NO"/>
  </r>
  <r>
    <n v="1097"/>
    <x v="0"/>
    <x v="2"/>
    <s v="Omont, Mr. Alfred Fernand"/>
    <x v="0"/>
    <x v="0"/>
    <n v="30.2"/>
    <n v="0"/>
    <n v="0"/>
    <s v="F.C. 12998"/>
    <n v="25.741700000000002"/>
    <m/>
    <x v="2"/>
    <x v="0"/>
    <s v="NO"/>
    <s v="NO"/>
  </r>
  <r>
    <n v="1098"/>
    <x v="1"/>
    <x v="0"/>
    <s v="McGowan, Miss. Katherine"/>
    <x v="1"/>
    <x v="0"/>
    <n v="35"/>
    <n v="0"/>
    <n v="0"/>
    <s v="9232"/>
    <n v="7.75"/>
    <m/>
    <x v="0"/>
    <x v="0"/>
    <s v="NO"/>
    <s v="NO"/>
  </r>
  <r>
    <n v="1099"/>
    <x v="0"/>
    <x v="1"/>
    <s v="Collett, Mr. Sidney C Stuart"/>
    <x v="0"/>
    <x v="2"/>
    <n v="24"/>
    <n v="0"/>
    <n v="0"/>
    <s v="28034"/>
    <n v="10.5"/>
    <m/>
    <x v="1"/>
    <x v="0"/>
    <s v="NO"/>
    <s v="NO"/>
  </r>
  <r>
    <n v="1100"/>
    <x v="1"/>
    <x v="2"/>
    <s v="Rosenbaum, Miss. Edith Louise"/>
    <x v="1"/>
    <x v="0"/>
    <n v="33"/>
    <n v="0"/>
    <n v="0"/>
    <s v="Pc 17613"/>
    <n v="27.720800000000001"/>
    <s v="A11"/>
    <x v="2"/>
    <x v="0"/>
    <s v="NO"/>
    <s v="NO"/>
  </r>
  <r>
    <n v="1101"/>
    <x v="0"/>
    <x v="0"/>
    <s v="Delalic, Mr. Redjo"/>
    <x v="0"/>
    <x v="2"/>
    <n v="25"/>
    <n v="0"/>
    <n v="0"/>
    <s v="349250"/>
    <n v="7.8958000000000004"/>
    <m/>
    <x v="1"/>
    <x v="0"/>
    <s v="NO"/>
    <s v="NO"/>
  </r>
  <r>
    <n v="1102"/>
    <x v="0"/>
    <x v="0"/>
    <s v="Andersen, Mr. Albert Karvin"/>
    <x v="0"/>
    <x v="0"/>
    <n v="32"/>
    <n v="0"/>
    <n v="0"/>
    <s v="C 4001"/>
    <n v="22.524999999999999"/>
    <m/>
    <x v="1"/>
    <x v="0"/>
    <s v="NO"/>
    <s v="NO"/>
  </r>
  <r>
    <n v="1103"/>
    <x v="0"/>
    <x v="0"/>
    <s v="Finoli, Mr. Luigi"/>
    <x v="0"/>
    <x v="0"/>
    <n v="30.2"/>
    <n v="0"/>
    <n v="0"/>
    <s v="Soton/O.Q. 3101308"/>
    <n v="7.05"/>
    <m/>
    <x v="1"/>
    <x v="0"/>
    <s v="NO"/>
    <s v="NO"/>
  </r>
  <r>
    <n v="1104"/>
    <x v="0"/>
    <x v="1"/>
    <s v="Deacon, Mr. Percy William"/>
    <x v="0"/>
    <x v="3"/>
    <n v="17"/>
    <n v="0"/>
    <n v="0"/>
    <s v="S.O.C. 14879"/>
    <n v="73.5"/>
    <m/>
    <x v="1"/>
    <x v="1"/>
    <s v="NO"/>
    <s v="NO"/>
  </r>
  <r>
    <n v="1105"/>
    <x v="1"/>
    <x v="1"/>
    <s v="Howard, Mrs. Benjamin (Ellen Truelove Arman)"/>
    <x v="1"/>
    <x v="1"/>
    <n v="60"/>
    <n v="1"/>
    <n v="0"/>
    <s v="24065"/>
    <n v="26"/>
    <m/>
    <x v="1"/>
    <x v="0"/>
    <s v="YES"/>
    <s v="NO"/>
  </r>
  <r>
    <n v="1106"/>
    <x v="1"/>
    <x v="0"/>
    <s v="Andersson, Miss. Ida Augusta Margareta"/>
    <x v="1"/>
    <x v="0"/>
    <n v="38"/>
    <n v="4"/>
    <n v="2"/>
    <s v="347091"/>
    <n v="7.7750000000000004"/>
    <m/>
    <x v="1"/>
    <x v="0"/>
    <s v="YES"/>
    <s v="YES"/>
  </r>
  <r>
    <n v="1107"/>
    <x v="0"/>
    <x v="2"/>
    <s v="Head, Mr. Christopher"/>
    <x v="0"/>
    <x v="0"/>
    <n v="42"/>
    <n v="0"/>
    <n v="0"/>
    <s v="113038"/>
    <n v="42.5"/>
    <s v="B11"/>
    <x v="1"/>
    <x v="0"/>
    <s v="NO"/>
    <s v="NO"/>
  </r>
  <r>
    <n v="1108"/>
    <x v="1"/>
    <x v="0"/>
    <s v="Mahon, Miss. Bridget Delia"/>
    <x v="1"/>
    <x v="0"/>
    <n v="30.2"/>
    <n v="0"/>
    <n v="0"/>
    <s v="330924"/>
    <n v="7.8792"/>
    <m/>
    <x v="0"/>
    <x v="0"/>
    <s v="NO"/>
    <s v="NO"/>
  </r>
  <r>
    <n v="1109"/>
    <x v="0"/>
    <x v="2"/>
    <s v="Wick, Mr. George Dennick"/>
    <x v="0"/>
    <x v="0"/>
    <n v="57"/>
    <n v="1"/>
    <n v="1"/>
    <s v="36928"/>
    <n v="164.86670000000001"/>
    <m/>
    <x v="1"/>
    <x v="0"/>
    <s v="YES"/>
    <s v="YES"/>
  </r>
  <r>
    <n v="1110"/>
    <x v="1"/>
    <x v="2"/>
    <s v="Widener, Mrs. George Dunton (Eleanor Elkins)"/>
    <x v="1"/>
    <x v="0"/>
    <n v="30.2"/>
    <n v="1"/>
    <n v="1"/>
    <s v="113503"/>
    <n v="211.5"/>
    <s v="C80"/>
    <x v="2"/>
    <x v="0"/>
    <s v="YES"/>
    <s v="YES"/>
  </r>
  <r>
    <n v="1111"/>
    <x v="0"/>
    <x v="0"/>
    <s v="Thomson, Mr. Alexander Morrison"/>
    <x v="0"/>
    <x v="0"/>
    <n v="30.2"/>
    <n v="0"/>
    <n v="0"/>
    <s v="32302"/>
    <n v="8.0500000000000007"/>
    <m/>
    <x v="1"/>
    <x v="0"/>
    <s v="NO"/>
    <s v="NO"/>
  </r>
  <r>
    <n v="1112"/>
    <x v="1"/>
    <x v="1"/>
    <s v="Duran y More, Miss. Florentina"/>
    <x v="1"/>
    <x v="0"/>
    <n v="30"/>
    <n v="1"/>
    <n v="0"/>
    <s v="Sc/Paris 2148"/>
    <n v="13.8583"/>
    <m/>
    <x v="2"/>
    <x v="0"/>
    <s v="YES"/>
    <s v="NO"/>
  </r>
  <r>
    <n v="1113"/>
    <x v="0"/>
    <x v="0"/>
    <s v="Reynolds, Mr. Harold J"/>
    <x v="0"/>
    <x v="2"/>
    <n v="21"/>
    <n v="0"/>
    <n v="0"/>
    <s v="342684"/>
    <n v="8.0500000000000007"/>
    <m/>
    <x v="1"/>
    <x v="0"/>
    <s v="NO"/>
    <s v="NO"/>
  </r>
  <r>
    <n v="1114"/>
    <x v="1"/>
    <x v="1"/>
    <s v="Cook, Mrs. (Selena Rogers)"/>
    <x v="1"/>
    <x v="2"/>
    <n v="22"/>
    <n v="0"/>
    <n v="0"/>
    <s v="W./C. 14266"/>
    <n v="10.5"/>
    <s v="F33"/>
    <x v="1"/>
    <x v="0"/>
    <s v="NO"/>
    <s v="NO"/>
  </r>
  <r>
    <n v="1115"/>
    <x v="0"/>
    <x v="0"/>
    <s v="Karlsson, Mr. Einar Gervasius"/>
    <x v="0"/>
    <x v="2"/>
    <n v="21"/>
    <n v="0"/>
    <n v="0"/>
    <s v="350053"/>
    <n v="7.7957999999999998"/>
    <m/>
    <x v="1"/>
    <x v="0"/>
    <s v="NO"/>
    <s v="NO"/>
  </r>
  <r>
    <n v="1116"/>
    <x v="1"/>
    <x v="2"/>
    <s v="Candee, Mrs. Edward (Helen Churchill Hungerford)"/>
    <x v="1"/>
    <x v="0"/>
    <n v="53"/>
    <n v="0"/>
    <n v="0"/>
    <s v="Pc 17606"/>
    <n v="27.445799999999998"/>
    <m/>
    <x v="2"/>
    <x v="0"/>
    <s v="NO"/>
    <s v="NO"/>
  </r>
  <r>
    <n v="1117"/>
    <x v="1"/>
    <x v="0"/>
    <s v="Moubarek, Mrs. George (Omine Amenia&quot; Alexander)&quot;"/>
    <x v="1"/>
    <x v="0"/>
    <n v="30.2"/>
    <n v="0"/>
    <n v="2"/>
    <s v="2661"/>
    <n v="15.245799999999999"/>
    <m/>
    <x v="2"/>
    <x v="0"/>
    <s v="NO"/>
    <s v="YES"/>
  </r>
  <r>
    <n v="1118"/>
    <x v="0"/>
    <x v="0"/>
    <s v="Asplund, Mr. Johan Charles"/>
    <x v="0"/>
    <x v="2"/>
    <n v="23"/>
    <n v="0"/>
    <n v="0"/>
    <s v="350054"/>
    <n v="7.7957999999999998"/>
    <m/>
    <x v="1"/>
    <x v="0"/>
    <s v="NO"/>
    <s v="NO"/>
  </r>
  <r>
    <n v="1119"/>
    <x v="1"/>
    <x v="0"/>
    <s v="McNeill, Miss. Bridget"/>
    <x v="1"/>
    <x v="0"/>
    <n v="30.2"/>
    <n v="0"/>
    <n v="0"/>
    <s v="370368"/>
    <n v="7.75"/>
    <m/>
    <x v="0"/>
    <x v="0"/>
    <s v="NO"/>
    <s v="NO"/>
  </r>
  <r>
    <n v="1120"/>
    <x v="0"/>
    <x v="0"/>
    <s v="Everett, Mr. Thomas James"/>
    <x v="0"/>
    <x v="0"/>
    <n v="40.5"/>
    <n v="0"/>
    <n v="0"/>
    <s v="C.A. 6212"/>
    <n v="15.1"/>
    <m/>
    <x v="1"/>
    <x v="0"/>
    <s v="NO"/>
    <s v="NO"/>
  </r>
  <r>
    <n v="1121"/>
    <x v="0"/>
    <x v="1"/>
    <s v="Hocking, Mr. Samuel James Metcalfe"/>
    <x v="0"/>
    <x v="0"/>
    <n v="36"/>
    <n v="0"/>
    <n v="0"/>
    <s v="242963"/>
    <n v="13"/>
    <m/>
    <x v="1"/>
    <x v="0"/>
    <s v="NO"/>
    <s v="NO"/>
  </r>
  <r>
    <n v="1122"/>
    <x v="0"/>
    <x v="1"/>
    <s v="Sweet, Mr. George Frederick"/>
    <x v="0"/>
    <x v="3"/>
    <n v="14"/>
    <n v="0"/>
    <n v="0"/>
    <s v="220845"/>
    <n v="65"/>
    <m/>
    <x v="1"/>
    <x v="1"/>
    <s v="NO"/>
    <s v="NO"/>
  </r>
  <r>
    <n v="1123"/>
    <x v="1"/>
    <x v="2"/>
    <s v="Willard, Miss. Constance"/>
    <x v="1"/>
    <x v="2"/>
    <n v="21"/>
    <n v="0"/>
    <n v="0"/>
    <s v="113795"/>
    <n v="26.55"/>
    <m/>
    <x v="1"/>
    <x v="0"/>
    <s v="NO"/>
    <s v="NO"/>
  </r>
  <r>
    <n v="1124"/>
    <x v="0"/>
    <x v="0"/>
    <s v="Wiklund, Mr. Karl Johan"/>
    <x v="0"/>
    <x v="2"/>
    <n v="21"/>
    <n v="1"/>
    <n v="0"/>
    <s v="3101266"/>
    <n v="6.4958"/>
    <m/>
    <x v="1"/>
    <x v="0"/>
    <s v="YES"/>
    <s v="NO"/>
  </r>
  <r>
    <n v="1125"/>
    <x v="0"/>
    <x v="0"/>
    <s v="Linehan, Mr. Michael"/>
    <x v="0"/>
    <x v="0"/>
    <n v="30.2"/>
    <n v="0"/>
    <n v="0"/>
    <s v="330971"/>
    <n v="7.8792"/>
    <m/>
    <x v="0"/>
    <x v="0"/>
    <s v="NO"/>
    <s v="NO"/>
  </r>
  <r>
    <n v="1126"/>
    <x v="0"/>
    <x v="2"/>
    <s v="Cumings, Mr. John Bradley"/>
    <x v="0"/>
    <x v="0"/>
    <n v="39"/>
    <n v="1"/>
    <n v="0"/>
    <s v="Pc 17599"/>
    <n v="71.283299999999997"/>
    <s v="C85"/>
    <x v="2"/>
    <x v="0"/>
    <s v="YES"/>
    <s v="NO"/>
  </r>
  <r>
    <n v="1127"/>
    <x v="0"/>
    <x v="0"/>
    <s v="Vendel, Mr. Olof Edvin"/>
    <x v="0"/>
    <x v="2"/>
    <n v="20"/>
    <n v="0"/>
    <n v="0"/>
    <s v="350416"/>
    <n v="7.8541999999999996"/>
    <m/>
    <x v="1"/>
    <x v="0"/>
    <s v="NO"/>
    <s v="NO"/>
  </r>
  <r>
    <n v="1128"/>
    <x v="0"/>
    <x v="2"/>
    <s v="Warren, Mr. Frank Manley"/>
    <x v="0"/>
    <x v="1"/>
    <n v="64"/>
    <n v="1"/>
    <n v="0"/>
    <s v="110813"/>
    <n v="75.25"/>
    <s v="D37"/>
    <x v="2"/>
    <x v="0"/>
    <s v="YES"/>
    <s v="NO"/>
  </r>
  <r>
    <n v="1129"/>
    <x v="0"/>
    <x v="0"/>
    <s v="Baccos, Mr. Raffull"/>
    <x v="0"/>
    <x v="2"/>
    <n v="20"/>
    <n v="0"/>
    <n v="0"/>
    <s v="2679"/>
    <n v="7.2249999999999996"/>
    <m/>
    <x v="2"/>
    <x v="0"/>
    <s v="NO"/>
    <s v="NO"/>
  </r>
  <r>
    <n v="1130"/>
    <x v="1"/>
    <x v="1"/>
    <s v="Hiltunen, Miss. Marta"/>
    <x v="1"/>
    <x v="2"/>
    <n v="18"/>
    <n v="1"/>
    <n v="1"/>
    <s v="250650"/>
    <n v="13"/>
    <m/>
    <x v="1"/>
    <x v="0"/>
    <s v="YES"/>
    <s v="YES"/>
  </r>
  <r>
    <n v="1131"/>
    <x v="1"/>
    <x v="2"/>
    <s v="Douglas, Mrs. Walter Donald (Mahala Dutton)"/>
    <x v="1"/>
    <x v="0"/>
    <n v="48"/>
    <n v="1"/>
    <n v="0"/>
    <s v="Pc 17761"/>
    <n v="106.425"/>
    <s v="C86"/>
    <x v="2"/>
    <x v="0"/>
    <s v="YES"/>
    <s v="NO"/>
  </r>
  <r>
    <n v="1132"/>
    <x v="1"/>
    <x v="2"/>
    <s v="Lindstrom, Mrs. Carl Johan (Sigrid Posse)"/>
    <x v="1"/>
    <x v="0"/>
    <n v="55"/>
    <n v="0"/>
    <n v="0"/>
    <s v="112377"/>
    <n v="27.720800000000001"/>
    <m/>
    <x v="2"/>
    <x v="0"/>
    <s v="NO"/>
    <s v="NO"/>
  </r>
  <r>
    <n v="1133"/>
    <x v="1"/>
    <x v="1"/>
    <s v="Christy, Mrs. (Alice Frances)"/>
    <x v="1"/>
    <x v="0"/>
    <n v="45"/>
    <n v="0"/>
    <n v="2"/>
    <s v="237789"/>
    <n v="30"/>
    <m/>
    <x v="1"/>
    <x v="0"/>
    <s v="NO"/>
    <s v="YES"/>
  </r>
  <r>
    <n v="1134"/>
    <x v="0"/>
    <x v="2"/>
    <s v="Spedden, Mr. Frederic Oakley"/>
    <x v="0"/>
    <x v="0"/>
    <n v="45"/>
    <n v="1"/>
    <n v="1"/>
    <s v="16966"/>
    <n v="134.5"/>
    <s v="E34"/>
    <x v="2"/>
    <x v="0"/>
    <s v="YES"/>
    <s v="YES"/>
  </r>
  <r>
    <n v="1135"/>
    <x v="0"/>
    <x v="0"/>
    <s v="Hyman, Mr. Abraham"/>
    <x v="0"/>
    <x v="0"/>
    <n v="30.2"/>
    <n v="0"/>
    <n v="0"/>
    <s v="3470"/>
    <n v="7.8875000000000002"/>
    <m/>
    <x v="1"/>
    <x v="0"/>
    <s v="NO"/>
    <s v="NO"/>
  </r>
  <r>
    <n v="1136"/>
    <x v="0"/>
    <x v="0"/>
    <s v="Johnston, Master. William Arthur Willie&quot;&quot;"/>
    <x v="0"/>
    <x v="0"/>
    <n v="30.2"/>
    <n v="1"/>
    <n v="2"/>
    <s v="W./C. 6607"/>
    <n v="23.45"/>
    <m/>
    <x v="1"/>
    <x v="0"/>
    <s v="YES"/>
    <s v="YES"/>
  </r>
  <r>
    <n v="1137"/>
    <x v="0"/>
    <x v="2"/>
    <s v="Kenyon, Mr. Frederick R"/>
    <x v="0"/>
    <x v="0"/>
    <n v="41"/>
    <n v="1"/>
    <n v="0"/>
    <s v="17464"/>
    <n v="51.862499999999997"/>
    <s v="D21"/>
    <x v="1"/>
    <x v="0"/>
    <s v="YES"/>
    <s v="NO"/>
  </r>
  <r>
    <n v="1138"/>
    <x v="1"/>
    <x v="1"/>
    <s v="Karnes, Mrs. J Frank (Claire Bennett)"/>
    <x v="1"/>
    <x v="2"/>
    <n v="22"/>
    <n v="0"/>
    <n v="0"/>
    <s v="F.C.C. 13534"/>
    <n v="21"/>
    <m/>
    <x v="1"/>
    <x v="0"/>
    <s v="NO"/>
    <s v="NO"/>
  </r>
  <r>
    <n v="1139"/>
    <x v="0"/>
    <x v="1"/>
    <s v="Drew, Mr. James Vivian"/>
    <x v="0"/>
    <x v="0"/>
    <n v="42"/>
    <n v="1"/>
    <n v="1"/>
    <s v="28220"/>
    <n v="32.5"/>
    <m/>
    <x v="1"/>
    <x v="0"/>
    <s v="YES"/>
    <s v="YES"/>
  </r>
  <r>
    <n v="1140"/>
    <x v="1"/>
    <x v="1"/>
    <s v="Hold, Mrs. Stephen (Annie Margaret Hill)"/>
    <x v="1"/>
    <x v="2"/>
    <n v="29"/>
    <n v="1"/>
    <n v="0"/>
    <s v="26707"/>
    <n v="26"/>
    <m/>
    <x v="1"/>
    <x v="0"/>
    <s v="YES"/>
    <s v="NO"/>
  </r>
  <r>
    <n v="1141"/>
    <x v="1"/>
    <x v="0"/>
    <s v="Khalil, Mrs. Betros (Zahie Maria&quot; Elias)&quot;"/>
    <x v="1"/>
    <x v="0"/>
    <n v="30.2"/>
    <n v="1"/>
    <n v="0"/>
    <s v="2660"/>
    <n v="14.4542"/>
    <m/>
    <x v="2"/>
    <x v="0"/>
    <s v="YES"/>
    <s v="NO"/>
  </r>
  <r>
    <n v="1142"/>
    <x v="1"/>
    <x v="1"/>
    <s v="West, Miss. Barbara J"/>
    <x v="1"/>
    <x v="3"/>
    <n v="0.92"/>
    <n v="1"/>
    <n v="2"/>
    <s v="C.A. 34651"/>
    <n v="27.75"/>
    <m/>
    <x v="1"/>
    <x v="1"/>
    <s v="YES"/>
    <s v="YES"/>
  </r>
  <r>
    <n v="1143"/>
    <x v="0"/>
    <x v="0"/>
    <s v="Abrahamsson, Mr. Abraham August Johannes"/>
    <x v="0"/>
    <x v="2"/>
    <n v="20"/>
    <n v="0"/>
    <n v="0"/>
    <s v="Soton/O2 3101284"/>
    <n v="7.9249999999999998"/>
    <m/>
    <x v="1"/>
    <x v="0"/>
    <s v="NO"/>
    <s v="NO"/>
  </r>
  <r>
    <n v="1144"/>
    <x v="0"/>
    <x v="2"/>
    <s v="Clark, Mr. Walter Miller"/>
    <x v="0"/>
    <x v="2"/>
    <n v="27"/>
    <n v="1"/>
    <n v="0"/>
    <s v="13508"/>
    <n v="136.7792"/>
    <s v="C89"/>
    <x v="2"/>
    <x v="0"/>
    <s v="YES"/>
    <s v="NO"/>
  </r>
  <r>
    <n v="1145"/>
    <x v="0"/>
    <x v="0"/>
    <s v="Salander, Mr. Karl Johan"/>
    <x v="0"/>
    <x v="2"/>
    <n v="24"/>
    <n v="0"/>
    <n v="0"/>
    <s v="7266"/>
    <n v="9.3249999999999993"/>
    <m/>
    <x v="1"/>
    <x v="0"/>
    <s v="NO"/>
    <s v="NO"/>
  </r>
  <r>
    <n v="1146"/>
    <x v="0"/>
    <x v="0"/>
    <s v="Wenzel, Mr. Linhart"/>
    <x v="0"/>
    <x v="0"/>
    <n v="32.5"/>
    <n v="0"/>
    <n v="0"/>
    <s v="345775"/>
    <n v="9.5"/>
    <m/>
    <x v="1"/>
    <x v="0"/>
    <s v="NO"/>
    <s v="NO"/>
  </r>
  <r>
    <n v="1147"/>
    <x v="0"/>
    <x v="0"/>
    <s v="MacKay, Mr. George William"/>
    <x v="0"/>
    <x v="0"/>
    <n v="30.2"/>
    <n v="0"/>
    <n v="0"/>
    <s v="C.A. 42795"/>
    <n v="7.55"/>
    <m/>
    <x v="1"/>
    <x v="0"/>
    <s v="NO"/>
    <s v="NO"/>
  </r>
  <r>
    <n v="1148"/>
    <x v="0"/>
    <x v="0"/>
    <s v="Mahon, Mr. John"/>
    <x v="0"/>
    <x v="0"/>
    <n v="30.2"/>
    <n v="0"/>
    <n v="0"/>
    <s v="Aq/4 3130"/>
    <n v="7.75"/>
    <m/>
    <x v="0"/>
    <x v="0"/>
    <s v="NO"/>
    <s v="NO"/>
  </r>
  <r>
    <n v="1149"/>
    <x v="0"/>
    <x v="0"/>
    <s v="Niklasson, Mr. Samuel"/>
    <x v="0"/>
    <x v="2"/>
    <n v="28"/>
    <n v="0"/>
    <n v="0"/>
    <s v="363611"/>
    <n v="8.0500000000000007"/>
    <m/>
    <x v="1"/>
    <x v="0"/>
    <s v="NO"/>
    <s v="NO"/>
  </r>
  <r>
    <n v="1150"/>
    <x v="1"/>
    <x v="1"/>
    <s v="Bentham, Miss. Lilian W"/>
    <x v="1"/>
    <x v="2"/>
    <n v="19"/>
    <n v="0"/>
    <n v="0"/>
    <s v="28404"/>
    <n v="13"/>
    <m/>
    <x v="1"/>
    <x v="0"/>
    <s v="NO"/>
    <s v="NO"/>
  </r>
  <r>
    <n v="1151"/>
    <x v="0"/>
    <x v="0"/>
    <s v="Midtsjo, Mr. Karl Albert"/>
    <x v="0"/>
    <x v="2"/>
    <n v="21"/>
    <n v="0"/>
    <n v="0"/>
    <s v="345501"/>
    <n v="7.7750000000000004"/>
    <m/>
    <x v="1"/>
    <x v="0"/>
    <s v="NO"/>
    <s v="NO"/>
  </r>
  <r>
    <n v="1152"/>
    <x v="0"/>
    <x v="0"/>
    <s v="de Messemaeker, Mr. Guillaume Joseph"/>
    <x v="0"/>
    <x v="0"/>
    <n v="36.5"/>
    <n v="1"/>
    <n v="0"/>
    <s v="345572"/>
    <n v="17.399999999999999"/>
    <m/>
    <x v="1"/>
    <x v="0"/>
    <s v="YES"/>
    <s v="NO"/>
  </r>
  <r>
    <n v="1153"/>
    <x v="0"/>
    <x v="0"/>
    <s v="Nilsson, Mr. August Ferdinand"/>
    <x v="0"/>
    <x v="2"/>
    <n v="21"/>
    <n v="0"/>
    <n v="0"/>
    <s v="350410"/>
    <n v="7.8541999999999996"/>
    <m/>
    <x v="1"/>
    <x v="0"/>
    <s v="NO"/>
    <s v="NO"/>
  </r>
  <r>
    <n v="1154"/>
    <x v="1"/>
    <x v="1"/>
    <s v="Wells, Mrs. Arthur Henry (Addie&quot; Dart Trevaskis)&quot;"/>
    <x v="1"/>
    <x v="2"/>
    <n v="29"/>
    <n v="0"/>
    <n v="2"/>
    <s v="29103"/>
    <n v="23"/>
    <m/>
    <x v="1"/>
    <x v="0"/>
    <s v="NO"/>
    <s v="YES"/>
  </r>
  <r>
    <n v="1155"/>
    <x v="1"/>
    <x v="0"/>
    <s v="Klasen, Miss. Gertrud Emilia"/>
    <x v="1"/>
    <x v="3"/>
    <n v="1"/>
    <n v="1"/>
    <n v="1"/>
    <s v="350405"/>
    <n v="12.183299999999999"/>
    <m/>
    <x v="1"/>
    <x v="1"/>
    <s v="YES"/>
    <s v="YES"/>
  </r>
  <r>
    <n v="1156"/>
    <x v="0"/>
    <x v="1"/>
    <s v="Portaluppi, Mr. Emilio Ilario Giuseppe"/>
    <x v="0"/>
    <x v="0"/>
    <n v="30"/>
    <n v="0"/>
    <n v="0"/>
    <s v="C.A. 34644"/>
    <n v="12.737500000000001"/>
    <m/>
    <x v="2"/>
    <x v="0"/>
    <s v="NO"/>
    <s v="NO"/>
  </r>
  <r>
    <n v="1157"/>
    <x v="0"/>
    <x v="0"/>
    <s v="Lyntakoff, Mr. Stanko"/>
    <x v="0"/>
    <x v="0"/>
    <n v="30.2"/>
    <n v="0"/>
    <n v="0"/>
    <s v="349235"/>
    <n v="7.8958000000000004"/>
    <m/>
    <x v="1"/>
    <x v="0"/>
    <s v="NO"/>
    <s v="NO"/>
  </r>
  <r>
    <n v="1158"/>
    <x v="0"/>
    <x v="2"/>
    <s v="Chisholm, Mr. Roderick Robert Crispin"/>
    <x v="0"/>
    <x v="0"/>
    <n v="30.2"/>
    <n v="0"/>
    <n v="0"/>
    <s v="112051"/>
    <n v="0"/>
    <m/>
    <x v="1"/>
    <x v="0"/>
    <s v="NO"/>
    <s v="NO"/>
  </r>
  <r>
    <n v="1159"/>
    <x v="0"/>
    <x v="0"/>
    <s v="Warren, Mr. Charles William"/>
    <x v="0"/>
    <x v="0"/>
    <n v="30.2"/>
    <n v="0"/>
    <n v="0"/>
    <s v="C.A. 49867"/>
    <n v="7.55"/>
    <m/>
    <x v="1"/>
    <x v="0"/>
    <s v="NO"/>
    <s v="NO"/>
  </r>
  <r>
    <n v="1160"/>
    <x v="1"/>
    <x v="0"/>
    <s v="Howard, Miss. May Elizabeth"/>
    <x v="1"/>
    <x v="0"/>
    <n v="30.2"/>
    <n v="0"/>
    <n v="0"/>
    <s v="A. 2. 39186"/>
    <n v="8.0500000000000007"/>
    <m/>
    <x v="1"/>
    <x v="0"/>
    <s v="NO"/>
    <s v="NO"/>
  </r>
  <r>
    <n v="1161"/>
    <x v="0"/>
    <x v="0"/>
    <s v="Pokrnic, Mr. Mate"/>
    <x v="0"/>
    <x v="3"/>
    <n v="17"/>
    <n v="0"/>
    <n v="0"/>
    <s v="315095"/>
    <n v="8.6624999999999996"/>
    <m/>
    <x v="1"/>
    <x v="1"/>
    <s v="NO"/>
    <s v="NO"/>
  </r>
  <r>
    <n v="1162"/>
    <x v="0"/>
    <x v="2"/>
    <s v="McCaffry, Mr. Thomas Francis"/>
    <x v="0"/>
    <x v="0"/>
    <n v="46"/>
    <n v="0"/>
    <n v="0"/>
    <s v="13050"/>
    <n v="75.241699999999994"/>
    <s v="C6"/>
    <x v="2"/>
    <x v="0"/>
    <s v="NO"/>
    <s v="NO"/>
  </r>
  <r>
    <n v="1163"/>
    <x v="0"/>
    <x v="0"/>
    <s v="Fox, Mr. Patrick"/>
    <x v="0"/>
    <x v="0"/>
    <n v="30.2"/>
    <n v="0"/>
    <n v="0"/>
    <s v="368573"/>
    <n v="7.75"/>
    <m/>
    <x v="0"/>
    <x v="0"/>
    <s v="NO"/>
    <s v="NO"/>
  </r>
  <r>
    <n v="1164"/>
    <x v="1"/>
    <x v="2"/>
    <s v="Clark, Mrs. Walter Miller (Virginia McDowell)"/>
    <x v="1"/>
    <x v="2"/>
    <n v="26"/>
    <n v="1"/>
    <n v="0"/>
    <s v="13508"/>
    <n v="136.7792"/>
    <s v="C89"/>
    <x v="2"/>
    <x v="0"/>
    <s v="YES"/>
    <s v="NO"/>
  </r>
  <r>
    <n v="1165"/>
    <x v="1"/>
    <x v="0"/>
    <s v="Lennon, Miss. Mary"/>
    <x v="1"/>
    <x v="0"/>
    <n v="30.2"/>
    <n v="1"/>
    <n v="0"/>
    <s v="370371"/>
    <n v="15.5"/>
    <m/>
    <x v="0"/>
    <x v="0"/>
    <s v="YES"/>
    <s v="NO"/>
  </r>
  <r>
    <n v="1166"/>
    <x v="0"/>
    <x v="0"/>
    <s v="Saade, Mr. Jean Nassr"/>
    <x v="0"/>
    <x v="0"/>
    <n v="30.2"/>
    <n v="0"/>
    <n v="0"/>
    <s v="2676"/>
    <n v="7.2249999999999996"/>
    <m/>
    <x v="2"/>
    <x v="0"/>
    <s v="NO"/>
    <s v="NO"/>
  </r>
  <r>
    <n v="1167"/>
    <x v="1"/>
    <x v="1"/>
    <s v="Bryhl, Miss. Dagmar Jenny Ingeborg "/>
    <x v="1"/>
    <x v="2"/>
    <n v="20"/>
    <n v="1"/>
    <n v="0"/>
    <s v="236853"/>
    <n v="26"/>
    <m/>
    <x v="1"/>
    <x v="0"/>
    <s v="YES"/>
    <s v="NO"/>
  </r>
  <r>
    <n v="1168"/>
    <x v="0"/>
    <x v="1"/>
    <s v="Parker, Mr. Clifford Richard"/>
    <x v="0"/>
    <x v="2"/>
    <n v="28"/>
    <n v="0"/>
    <n v="0"/>
    <s v="Sc 14888"/>
    <n v="10.5"/>
    <m/>
    <x v="1"/>
    <x v="0"/>
    <s v="NO"/>
    <s v="NO"/>
  </r>
  <r>
    <n v="1169"/>
    <x v="0"/>
    <x v="1"/>
    <s v="Faunthorpe, Mr. Harry"/>
    <x v="0"/>
    <x v="0"/>
    <n v="40"/>
    <n v="1"/>
    <n v="0"/>
    <s v="2926"/>
    <n v="26"/>
    <m/>
    <x v="1"/>
    <x v="0"/>
    <s v="YES"/>
    <s v="NO"/>
  </r>
  <r>
    <n v="1170"/>
    <x v="0"/>
    <x v="1"/>
    <s v="Ware, Mr. John James"/>
    <x v="0"/>
    <x v="0"/>
    <n v="30"/>
    <n v="1"/>
    <n v="0"/>
    <s v="Ca 31352"/>
    <n v="21"/>
    <m/>
    <x v="1"/>
    <x v="0"/>
    <s v="YES"/>
    <s v="NO"/>
  </r>
  <r>
    <n v="1171"/>
    <x v="0"/>
    <x v="1"/>
    <s v="Oxenham, Mr. Percy Thomas"/>
    <x v="0"/>
    <x v="2"/>
    <n v="22"/>
    <n v="0"/>
    <n v="0"/>
    <s v="W./C. 14260"/>
    <n v="10.5"/>
    <m/>
    <x v="1"/>
    <x v="0"/>
    <s v="NO"/>
    <s v="NO"/>
  </r>
  <r>
    <n v="1172"/>
    <x v="1"/>
    <x v="0"/>
    <s v="Oreskovic, Miss. Jelka"/>
    <x v="1"/>
    <x v="2"/>
    <n v="23"/>
    <n v="0"/>
    <n v="0"/>
    <s v="315085"/>
    <n v="8.6624999999999996"/>
    <m/>
    <x v="1"/>
    <x v="0"/>
    <s v="NO"/>
    <s v="NO"/>
  </r>
  <r>
    <n v="1173"/>
    <x v="0"/>
    <x v="0"/>
    <s v="Peacock, Master. Alfred Edward"/>
    <x v="0"/>
    <x v="3"/>
    <n v="0.75"/>
    <n v="1"/>
    <n v="1"/>
    <s v="Soton/O.Q. 3101315"/>
    <n v="13.775"/>
    <m/>
    <x v="1"/>
    <x v="1"/>
    <s v="YES"/>
    <s v="YES"/>
  </r>
  <r>
    <n v="1174"/>
    <x v="1"/>
    <x v="0"/>
    <s v="Fleming, Miss. Honora"/>
    <x v="1"/>
    <x v="0"/>
    <n v="30.2"/>
    <n v="0"/>
    <n v="0"/>
    <s v="364859"/>
    <n v="7.75"/>
    <m/>
    <x v="0"/>
    <x v="0"/>
    <s v="NO"/>
    <s v="NO"/>
  </r>
  <r>
    <n v="1175"/>
    <x v="1"/>
    <x v="0"/>
    <s v="Touma, Miss. Maria Youssef"/>
    <x v="1"/>
    <x v="3"/>
    <n v="9"/>
    <n v="1"/>
    <n v="1"/>
    <s v="2650"/>
    <n v="15.245799999999999"/>
    <m/>
    <x v="2"/>
    <x v="1"/>
    <s v="YES"/>
    <s v="YES"/>
  </r>
  <r>
    <n v="1176"/>
    <x v="1"/>
    <x v="0"/>
    <s v="Rosblom, Miss. Salli Helena"/>
    <x v="1"/>
    <x v="3"/>
    <n v="2"/>
    <n v="1"/>
    <n v="1"/>
    <s v="370129"/>
    <n v="20.212499999999999"/>
    <m/>
    <x v="1"/>
    <x v="1"/>
    <s v="YES"/>
    <s v="YES"/>
  </r>
  <r>
    <n v="1177"/>
    <x v="0"/>
    <x v="0"/>
    <s v="Dennis, Mr. William"/>
    <x v="0"/>
    <x v="0"/>
    <n v="36"/>
    <n v="0"/>
    <n v="0"/>
    <s v="A/5 21175"/>
    <n v="7.25"/>
    <m/>
    <x v="1"/>
    <x v="0"/>
    <s v="NO"/>
    <s v="NO"/>
  </r>
  <r>
    <n v="1178"/>
    <x v="0"/>
    <x v="0"/>
    <s v="Franklin, Mr. Charles (Charles Fardon)"/>
    <x v="0"/>
    <x v="0"/>
    <n v="30.2"/>
    <n v="0"/>
    <n v="0"/>
    <s v="Soton/O.Q. 3101314"/>
    <n v="7.25"/>
    <m/>
    <x v="1"/>
    <x v="0"/>
    <s v="NO"/>
    <s v="NO"/>
  </r>
  <r>
    <n v="1179"/>
    <x v="0"/>
    <x v="2"/>
    <s v="Snyder, Mr. John Pillsbury"/>
    <x v="0"/>
    <x v="2"/>
    <n v="24"/>
    <n v="1"/>
    <n v="0"/>
    <s v="21228"/>
    <n v="82.2667"/>
    <s v="B45"/>
    <x v="1"/>
    <x v="0"/>
    <s v="YES"/>
    <s v="NO"/>
  </r>
  <r>
    <n v="1180"/>
    <x v="0"/>
    <x v="0"/>
    <s v="Mardirosian, Mr. Sarkis"/>
    <x v="0"/>
    <x v="0"/>
    <n v="30.2"/>
    <n v="0"/>
    <n v="0"/>
    <s v="2655"/>
    <n v="7.2291999999999996"/>
    <s v="F E46"/>
    <x v="2"/>
    <x v="0"/>
    <s v="NO"/>
    <s v="NO"/>
  </r>
  <r>
    <n v="1181"/>
    <x v="0"/>
    <x v="0"/>
    <s v="Ford, Mr. Arthur"/>
    <x v="0"/>
    <x v="0"/>
    <n v="30.2"/>
    <n v="0"/>
    <n v="0"/>
    <s v="A/5 1478"/>
    <n v="8.0500000000000007"/>
    <m/>
    <x v="1"/>
    <x v="0"/>
    <s v="NO"/>
    <s v="NO"/>
  </r>
  <r>
    <n v="1182"/>
    <x v="0"/>
    <x v="2"/>
    <s v="Rheims, Mr. George Alexander Lucien"/>
    <x v="0"/>
    <x v="0"/>
    <n v="30.2"/>
    <n v="0"/>
    <n v="0"/>
    <s v="Pc 17607"/>
    <n v="39.6"/>
    <m/>
    <x v="1"/>
    <x v="0"/>
    <s v="NO"/>
    <s v="NO"/>
  </r>
  <r>
    <n v="1183"/>
    <x v="1"/>
    <x v="0"/>
    <s v="Daly, Miss. Margaret Marcella Maggie&quot;&quot;"/>
    <x v="1"/>
    <x v="0"/>
    <n v="30"/>
    <n v="0"/>
    <n v="0"/>
    <s v="382650"/>
    <n v="6.95"/>
    <m/>
    <x v="0"/>
    <x v="0"/>
    <s v="NO"/>
    <s v="NO"/>
  </r>
  <r>
    <n v="1184"/>
    <x v="0"/>
    <x v="0"/>
    <s v="Nasr, Mr. Mustafa"/>
    <x v="0"/>
    <x v="0"/>
    <n v="30.2"/>
    <n v="0"/>
    <n v="0"/>
    <s v="2652"/>
    <n v="7.2291999999999996"/>
    <m/>
    <x v="2"/>
    <x v="0"/>
    <s v="NO"/>
    <s v="NO"/>
  </r>
  <r>
    <n v="1185"/>
    <x v="0"/>
    <x v="2"/>
    <s v="Dodge, Dr. Washington"/>
    <x v="0"/>
    <x v="0"/>
    <n v="53"/>
    <n v="1"/>
    <n v="1"/>
    <s v="33638"/>
    <n v="81.8583"/>
    <s v="A34"/>
    <x v="1"/>
    <x v="0"/>
    <s v="YES"/>
    <s v="YES"/>
  </r>
  <r>
    <n v="1186"/>
    <x v="0"/>
    <x v="0"/>
    <s v="Wittevrongel, Mr. Camille"/>
    <x v="0"/>
    <x v="0"/>
    <n v="36"/>
    <n v="0"/>
    <n v="0"/>
    <s v="345771"/>
    <n v="9.5"/>
    <m/>
    <x v="1"/>
    <x v="0"/>
    <s v="NO"/>
    <s v="NO"/>
  </r>
  <r>
    <n v="1187"/>
    <x v="0"/>
    <x v="0"/>
    <s v="Angheloff, Mr. Minko"/>
    <x v="0"/>
    <x v="2"/>
    <n v="26"/>
    <n v="0"/>
    <n v="0"/>
    <s v="349202"/>
    <n v="7.8958000000000004"/>
    <m/>
    <x v="1"/>
    <x v="0"/>
    <s v="NO"/>
    <s v="NO"/>
  </r>
  <r>
    <n v="1188"/>
    <x v="1"/>
    <x v="1"/>
    <s v="Laroche, Miss. Louise"/>
    <x v="1"/>
    <x v="3"/>
    <n v="1"/>
    <n v="1"/>
    <n v="2"/>
    <s v="Sc/Paris 2123"/>
    <n v="41.5792"/>
    <m/>
    <x v="2"/>
    <x v="1"/>
    <s v="YES"/>
    <s v="YES"/>
  </r>
  <r>
    <n v="1189"/>
    <x v="0"/>
    <x v="0"/>
    <s v="Samaan, Mr. Hanna"/>
    <x v="0"/>
    <x v="0"/>
    <n v="30.2"/>
    <n v="2"/>
    <n v="0"/>
    <s v="2662"/>
    <n v="21.679200000000002"/>
    <m/>
    <x v="2"/>
    <x v="0"/>
    <s v="YES"/>
    <s v="NO"/>
  </r>
  <r>
    <n v="1190"/>
    <x v="0"/>
    <x v="2"/>
    <s v="Loring, Mr. Joseph Holland"/>
    <x v="0"/>
    <x v="0"/>
    <n v="30"/>
    <n v="0"/>
    <n v="0"/>
    <s v="113801"/>
    <n v="45.5"/>
    <m/>
    <x v="1"/>
    <x v="0"/>
    <s v="NO"/>
    <s v="NO"/>
  </r>
  <r>
    <n v="1191"/>
    <x v="0"/>
    <x v="0"/>
    <s v="Johansson, Mr. Nils"/>
    <x v="0"/>
    <x v="2"/>
    <n v="29"/>
    <n v="0"/>
    <n v="0"/>
    <s v="347467"/>
    <n v="7.8541999999999996"/>
    <m/>
    <x v="1"/>
    <x v="0"/>
    <s v="NO"/>
    <s v="NO"/>
  </r>
  <r>
    <n v="1192"/>
    <x v="0"/>
    <x v="0"/>
    <s v="Olsson, Mr. Oscar Wilhelm"/>
    <x v="0"/>
    <x v="0"/>
    <n v="32"/>
    <n v="0"/>
    <n v="0"/>
    <s v="347079"/>
    <n v="7.7750000000000004"/>
    <m/>
    <x v="1"/>
    <x v="0"/>
    <s v="NO"/>
    <s v="NO"/>
  </r>
  <r>
    <n v="1193"/>
    <x v="0"/>
    <x v="1"/>
    <s v="Malachard, Mr. Noel"/>
    <x v="0"/>
    <x v="0"/>
    <n v="30.2"/>
    <n v="0"/>
    <n v="0"/>
    <s v="237735"/>
    <n v="15.0458"/>
    <s v="D"/>
    <x v="2"/>
    <x v="0"/>
    <s v="NO"/>
    <s v="NO"/>
  </r>
  <r>
    <n v="1194"/>
    <x v="0"/>
    <x v="1"/>
    <s v="Phillips, Mr. Escott Robert"/>
    <x v="0"/>
    <x v="0"/>
    <n v="43"/>
    <n v="0"/>
    <n v="1"/>
    <s v="S.O./P.P. 2"/>
    <n v="21"/>
    <m/>
    <x v="1"/>
    <x v="0"/>
    <s v="NO"/>
    <s v="YES"/>
  </r>
  <r>
    <n v="1195"/>
    <x v="0"/>
    <x v="0"/>
    <s v="Pokrnic, Mr. Tome"/>
    <x v="0"/>
    <x v="2"/>
    <n v="24"/>
    <n v="0"/>
    <n v="0"/>
    <s v="315092"/>
    <n v="8.6624999999999996"/>
    <m/>
    <x v="1"/>
    <x v="0"/>
    <s v="NO"/>
    <s v="NO"/>
  </r>
  <r>
    <n v="1196"/>
    <x v="1"/>
    <x v="0"/>
    <s v="McCarthy, Miss. Catherine Katie&quot;&quot;"/>
    <x v="1"/>
    <x v="0"/>
    <n v="30.2"/>
    <n v="0"/>
    <n v="0"/>
    <s v="383123"/>
    <n v="7.75"/>
    <m/>
    <x v="0"/>
    <x v="0"/>
    <s v="NO"/>
    <s v="NO"/>
  </r>
  <r>
    <n v="1197"/>
    <x v="1"/>
    <x v="2"/>
    <s v="Crosby, Mrs. Edward Gifford (Catherine Elizabeth Halstead)"/>
    <x v="1"/>
    <x v="1"/>
    <n v="64"/>
    <n v="1"/>
    <n v="1"/>
    <s v="112901"/>
    <n v="26.55"/>
    <s v="B26"/>
    <x v="1"/>
    <x v="0"/>
    <s v="YES"/>
    <s v="YES"/>
  </r>
  <r>
    <n v="1198"/>
    <x v="0"/>
    <x v="2"/>
    <s v="Allison, Mr. Hudson Joshua Creighton"/>
    <x v="0"/>
    <x v="0"/>
    <n v="30"/>
    <n v="1"/>
    <n v="2"/>
    <s v="113781"/>
    <n v="151.55000000000001"/>
    <s v="C22 C26"/>
    <x v="1"/>
    <x v="0"/>
    <s v="YES"/>
    <s v="YES"/>
  </r>
  <r>
    <n v="1199"/>
    <x v="0"/>
    <x v="0"/>
    <s v="Aks, Master. Philip Frank"/>
    <x v="0"/>
    <x v="3"/>
    <n v="0.83"/>
    <n v="0"/>
    <n v="1"/>
    <s v="392091"/>
    <n v="9.35"/>
    <m/>
    <x v="1"/>
    <x v="1"/>
    <s v="NO"/>
    <s v="YES"/>
  </r>
  <r>
    <n v="1200"/>
    <x v="0"/>
    <x v="2"/>
    <s v="Hays, Mr. Charles Melville"/>
    <x v="0"/>
    <x v="0"/>
    <n v="55"/>
    <n v="1"/>
    <n v="1"/>
    <s v="12749"/>
    <n v="93.5"/>
    <s v="B69"/>
    <x v="1"/>
    <x v="0"/>
    <s v="YES"/>
    <s v="YES"/>
  </r>
  <r>
    <n v="1201"/>
    <x v="1"/>
    <x v="0"/>
    <s v="Hansen, Mrs. Claus Peter (Jennie L Howard)"/>
    <x v="1"/>
    <x v="0"/>
    <n v="45"/>
    <n v="1"/>
    <n v="0"/>
    <s v="350026"/>
    <n v="14.1083"/>
    <m/>
    <x v="1"/>
    <x v="0"/>
    <s v="YES"/>
    <s v="NO"/>
  </r>
  <r>
    <n v="1202"/>
    <x v="0"/>
    <x v="0"/>
    <s v="Cacic, Mr. Jego Grga"/>
    <x v="0"/>
    <x v="2"/>
    <n v="18"/>
    <n v="0"/>
    <n v="0"/>
    <s v="315091"/>
    <n v="8.6624999999999996"/>
    <m/>
    <x v="1"/>
    <x v="0"/>
    <s v="NO"/>
    <s v="NO"/>
  </r>
  <r>
    <n v="1203"/>
    <x v="0"/>
    <x v="0"/>
    <s v="Vartanian, Mr. David"/>
    <x v="0"/>
    <x v="2"/>
    <n v="22"/>
    <n v="0"/>
    <n v="0"/>
    <s v="2658"/>
    <n v="7.2249999999999996"/>
    <m/>
    <x v="2"/>
    <x v="0"/>
    <s v="NO"/>
    <s v="NO"/>
  </r>
  <r>
    <n v="1204"/>
    <x v="0"/>
    <x v="0"/>
    <s v="Sadowitz, Mr. Harry"/>
    <x v="0"/>
    <x v="0"/>
    <n v="30.2"/>
    <n v="0"/>
    <n v="0"/>
    <s v="Lp 1588"/>
    <n v="7.5750000000000002"/>
    <m/>
    <x v="1"/>
    <x v="0"/>
    <s v="NO"/>
    <s v="NO"/>
  </r>
  <r>
    <n v="1205"/>
    <x v="1"/>
    <x v="0"/>
    <s v="Carr, Miss. Jeannie"/>
    <x v="1"/>
    <x v="0"/>
    <n v="37"/>
    <n v="0"/>
    <n v="0"/>
    <s v="368364"/>
    <n v="7.75"/>
    <m/>
    <x v="0"/>
    <x v="0"/>
    <s v="NO"/>
    <s v="NO"/>
  </r>
  <r>
    <n v="1206"/>
    <x v="1"/>
    <x v="2"/>
    <s v="White, Mrs. John Stuart (Ella Holmes)"/>
    <x v="1"/>
    <x v="0"/>
    <n v="55"/>
    <n v="0"/>
    <n v="0"/>
    <s v="Pc 17760"/>
    <n v="135.63329999999999"/>
    <s v="C32"/>
    <x v="2"/>
    <x v="0"/>
    <s v="NO"/>
    <s v="NO"/>
  </r>
  <r>
    <n v="1207"/>
    <x v="1"/>
    <x v="0"/>
    <s v="Hagardon, Miss. Kate"/>
    <x v="1"/>
    <x v="3"/>
    <n v="17"/>
    <n v="0"/>
    <n v="0"/>
    <s v="Aq/3. 30631"/>
    <n v="7.7332999999999998"/>
    <m/>
    <x v="0"/>
    <x v="1"/>
    <s v="NO"/>
    <s v="NO"/>
  </r>
  <r>
    <n v="1208"/>
    <x v="0"/>
    <x v="2"/>
    <s v="Spencer, Mr. William Augustus"/>
    <x v="0"/>
    <x v="0"/>
    <n v="57"/>
    <n v="1"/>
    <n v="0"/>
    <s v="Pc 17569"/>
    <n v="146.52080000000001"/>
    <s v="B78"/>
    <x v="2"/>
    <x v="0"/>
    <s v="YES"/>
    <s v="NO"/>
  </r>
  <r>
    <n v="1209"/>
    <x v="0"/>
    <x v="1"/>
    <s v="Rogers, Mr. Reginald Harry"/>
    <x v="0"/>
    <x v="2"/>
    <n v="19"/>
    <n v="0"/>
    <n v="0"/>
    <s v="28004"/>
    <n v="10.5"/>
    <m/>
    <x v="1"/>
    <x v="0"/>
    <s v="NO"/>
    <s v="NO"/>
  </r>
  <r>
    <n v="1210"/>
    <x v="0"/>
    <x v="0"/>
    <s v="Jonsson, Mr. Nils Hilding"/>
    <x v="0"/>
    <x v="2"/>
    <n v="27"/>
    <n v="0"/>
    <n v="0"/>
    <s v="350408"/>
    <n v="7.8541999999999996"/>
    <m/>
    <x v="1"/>
    <x v="0"/>
    <s v="NO"/>
    <s v="NO"/>
  </r>
  <r>
    <n v="1211"/>
    <x v="0"/>
    <x v="1"/>
    <s v="Jefferys, Mr. Ernest Wilfred"/>
    <x v="0"/>
    <x v="2"/>
    <n v="22"/>
    <n v="2"/>
    <n v="0"/>
    <s v="C.A. 31029"/>
    <n v="31.5"/>
    <m/>
    <x v="1"/>
    <x v="0"/>
    <s v="YES"/>
    <s v="NO"/>
  </r>
  <r>
    <n v="1212"/>
    <x v="0"/>
    <x v="0"/>
    <s v="Andersson, Mr. Johan Samuel"/>
    <x v="0"/>
    <x v="2"/>
    <n v="26"/>
    <n v="0"/>
    <n v="0"/>
    <s v="347075"/>
    <n v="7.7750000000000004"/>
    <m/>
    <x v="1"/>
    <x v="0"/>
    <s v="NO"/>
    <s v="NO"/>
  </r>
  <r>
    <n v="1213"/>
    <x v="0"/>
    <x v="0"/>
    <s v="Krekorian, Mr. Neshan"/>
    <x v="0"/>
    <x v="2"/>
    <n v="25"/>
    <n v="0"/>
    <n v="0"/>
    <s v="2654"/>
    <n v="7.2291999999999996"/>
    <s v="F E57"/>
    <x v="2"/>
    <x v="0"/>
    <s v="NO"/>
    <s v="NO"/>
  </r>
  <r>
    <n v="1214"/>
    <x v="0"/>
    <x v="1"/>
    <s v="Nesson, Mr. Israel"/>
    <x v="0"/>
    <x v="2"/>
    <n v="26"/>
    <n v="0"/>
    <n v="0"/>
    <s v="244368"/>
    <n v="13"/>
    <s v="F2"/>
    <x v="1"/>
    <x v="0"/>
    <s v="NO"/>
    <s v="NO"/>
  </r>
  <r>
    <n v="1215"/>
    <x v="0"/>
    <x v="2"/>
    <s v="Rowe, Mr. Alfred G"/>
    <x v="0"/>
    <x v="0"/>
    <n v="33"/>
    <n v="0"/>
    <n v="0"/>
    <s v="113790"/>
    <n v="26.55"/>
    <m/>
    <x v="1"/>
    <x v="0"/>
    <s v="NO"/>
    <s v="NO"/>
  </r>
  <r>
    <n v="1216"/>
    <x v="1"/>
    <x v="2"/>
    <s v="Kreuchen, Miss. Emilie"/>
    <x v="1"/>
    <x v="0"/>
    <n v="39"/>
    <n v="0"/>
    <n v="0"/>
    <s v="24160"/>
    <n v="211.33750000000001"/>
    <m/>
    <x v="1"/>
    <x v="0"/>
    <s v="NO"/>
    <s v="NO"/>
  </r>
  <r>
    <n v="1217"/>
    <x v="0"/>
    <x v="0"/>
    <s v="Assam, Mr. Ali"/>
    <x v="0"/>
    <x v="2"/>
    <n v="23"/>
    <n v="0"/>
    <n v="0"/>
    <s v="Soton/O.Q. 3101309"/>
    <n v="7.05"/>
    <m/>
    <x v="1"/>
    <x v="0"/>
    <s v="NO"/>
    <s v="NO"/>
  </r>
  <r>
    <n v="1218"/>
    <x v="1"/>
    <x v="1"/>
    <s v="Becker, Miss. Ruth Elizabeth"/>
    <x v="1"/>
    <x v="3"/>
    <n v="12"/>
    <n v="2"/>
    <n v="1"/>
    <s v="230136"/>
    <n v="39"/>
    <s v="F4"/>
    <x v="1"/>
    <x v="1"/>
    <s v="YES"/>
    <s v="YES"/>
  </r>
  <r>
    <n v="1219"/>
    <x v="0"/>
    <x v="2"/>
    <s v="Rosenshine, Mr. George (Mr George Thorne&quot;)&quot;"/>
    <x v="0"/>
    <x v="0"/>
    <n v="46"/>
    <n v="0"/>
    <n v="0"/>
    <s v="Pc 17585"/>
    <n v="79.2"/>
    <m/>
    <x v="2"/>
    <x v="0"/>
    <s v="NO"/>
    <s v="NO"/>
  </r>
  <r>
    <n v="1220"/>
    <x v="0"/>
    <x v="1"/>
    <s v="Clarke, Mr. Charles Valentine"/>
    <x v="0"/>
    <x v="2"/>
    <n v="29"/>
    <n v="1"/>
    <n v="0"/>
    <s v="2003"/>
    <n v="26"/>
    <m/>
    <x v="1"/>
    <x v="0"/>
    <s v="YES"/>
    <s v="NO"/>
  </r>
  <r>
    <n v="1221"/>
    <x v="0"/>
    <x v="1"/>
    <s v="Enander, Mr. Ingvar"/>
    <x v="0"/>
    <x v="2"/>
    <n v="21"/>
    <n v="0"/>
    <n v="0"/>
    <s v="236854"/>
    <n v="13"/>
    <m/>
    <x v="1"/>
    <x v="0"/>
    <s v="NO"/>
    <s v="NO"/>
  </r>
  <r>
    <n v="1222"/>
    <x v="1"/>
    <x v="1"/>
    <s v="Davies, Mrs. John Morgan (Elizabeth Agnes Mary White) "/>
    <x v="1"/>
    <x v="0"/>
    <n v="48"/>
    <n v="0"/>
    <n v="2"/>
    <s v="C.A. 33112"/>
    <n v="36.75"/>
    <m/>
    <x v="1"/>
    <x v="0"/>
    <s v="NO"/>
    <s v="YES"/>
  </r>
  <r>
    <n v="1223"/>
    <x v="0"/>
    <x v="2"/>
    <s v="Dulles, Mr. William Crothers"/>
    <x v="0"/>
    <x v="0"/>
    <n v="39"/>
    <n v="0"/>
    <n v="0"/>
    <s v="Pc 17580"/>
    <n v="29.7"/>
    <s v="A18"/>
    <x v="2"/>
    <x v="0"/>
    <s v="NO"/>
    <s v="NO"/>
  </r>
  <r>
    <n v="1224"/>
    <x v="0"/>
    <x v="0"/>
    <s v="Thomas, Mr. Tannous"/>
    <x v="0"/>
    <x v="0"/>
    <n v="30.2"/>
    <n v="0"/>
    <n v="0"/>
    <s v="2684"/>
    <n v="7.2249999999999996"/>
    <m/>
    <x v="2"/>
    <x v="0"/>
    <s v="NO"/>
    <s v="NO"/>
  </r>
  <r>
    <n v="1225"/>
    <x v="1"/>
    <x v="0"/>
    <s v="Nakid, Mrs. Said (Waika Mary&quot; Mowad)&quot;"/>
    <x v="1"/>
    <x v="2"/>
    <n v="19"/>
    <n v="1"/>
    <n v="1"/>
    <s v="2653"/>
    <n v="15.7417"/>
    <m/>
    <x v="2"/>
    <x v="0"/>
    <s v="YES"/>
    <s v="YES"/>
  </r>
  <r>
    <n v="1226"/>
    <x v="0"/>
    <x v="0"/>
    <s v="Cor, Mr. Ivan"/>
    <x v="0"/>
    <x v="2"/>
    <n v="27"/>
    <n v="0"/>
    <n v="0"/>
    <s v="349229"/>
    <n v="7.8958000000000004"/>
    <m/>
    <x v="1"/>
    <x v="0"/>
    <s v="NO"/>
    <s v="NO"/>
  </r>
  <r>
    <n v="1227"/>
    <x v="0"/>
    <x v="2"/>
    <s v="Maguire, Mr. John Edward"/>
    <x v="0"/>
    <x v="0"/>
    <n v="30"/>
    <n v="0"/>
    <n v="0"/>
    <s v="110469"/>
    <n v="26"/>
    <s v="C106"/>
    <x v="1"/>
    <x v="0"/>
    <s v="NO"/>
    <s v="NO"/>
  </r>
  <r>
    <n v="1228"/>
    <x v="0"/>
    <x v="1"/>
    <s v="de Brito, Mr. Jose Joaquim"/>
    <x v="0"/>
    <x v="0"/>
    <n v="32"/>
    <n v="0"/>
    <n v="0"/>
    <s v="244360"/>
    <n v="13"/>
    <m/>
    <x v="1"/>
    <x v="0"/>
    <s v="NO"/>
    <s v="NO"/>
  </r>
  <r>
    <n v="1229"/>
    <x v="0"/>
    <x v="0"/>
    <s v="Elias, Mr. Joseph"/>
    <x v="0"/>
    <x v="0"/>
    <n v="39"/>
    <n v="0"/>
    <n v="2"/>
    <s v="2675"/>
    <n v="7.2291999999999996"/>
    <m/>
    <x v="2"/>
    <x v="0"/>
    <s v="NO"/>
    <s v="YES"/>
  </r>
  <r>
    <n v="1230"/>
    <x v="0"/>
    <x v="1"/>
    <s v="Denbury, Mr. Herbert"/>
    <x v="0"/>
    <x v="2"/>
    <n v="25"/>
    <n v="0"/>
    <n v="0"/>
    <s v="C.A. 31029"/>
    <n v="31.5"/>
    <m/>
    <x v="1"/>
    <x v="0"/>
    <s v="NO"/>
    <s v="NO"/>
  </r>
  <r>
    <n v="1231"/>
    <x v="0"/>
    <x v="0"/>
    <s v="Betros, Master. Seman"/>
    <x v="0"/>
    <x v="0"/>
    <n v="30.2"/>
    <n v="0"/>
    <n v="0"/>
    <s v="2622"/>
    <n v="7.2291999999999996"/>
    <m/>
    <x v="2"/>
    <x v="0"/>
    <s v="NO"/>
    <s v="NO"/>
  </r>
  <r>
    <n v="1232"/>
    <x v="0"/>
    <x v="1"/>
    <s v="Fillbrook, Mr. Joseph Charles"/>
    <x v="0"/>
    <x v="2"/>
    <n v="18"/>
    <n v="0"/>
    <n v="0"/>
    <s v="C.A. 15185"/>
    <n v="10.5"/>
    <m/>
    <x v="1"/>
    <x v="0"/>
    <s v="NO"/>
    <s v="NO"/>
  </r>
  <r>
    <n v="1233"/>
    <x v="0"/>
    <x v="0"/>
    <s v="Lundstrom, Mr. Thure Edvin"/>
    <x v="0"/>
    <x v="0"/>
    <n v="32"/>
    <n v="0"/>
    <n v="0"/>
    <s v="350403"/>
    <n v="7.5792000000000002"/>
    <m/>
    <x v="1"/>
    <x v="0"/>
    <s v="NO"/>
    <s v="NO"/>
  </r>
  <r>
    <n v="1234"/>
    <x v="0"/>
    <x v="0"/>
    <s v="Sage, Mr. John George"/>
    <x v="0"/>
    <x v="0"/>
    <n v="30.2"/>
    <n v="1"/>
    <n v="9"/>
    <s v="Ca. 2343"/>
    <n v="69.55"/>
    <m/>
    <x v="1"/>
    <x v="0"/>
    <s v="YES"/>
    <s v="YES"/>
  </r>
  <r>
    <n v="1235"/>
    <x v="1"/>
    <x v="2"/>
    <s v="Cardeza, Mrs. James Warburton Martinez (Charlotte Wardle Drake)"/>
    <x v="1"/>
    <x v="0"/>
    <n v="58"/>
    <n v="0"/>
    <n v="1"/>
    <s v="Pc 17755"/>
    <n v="512.32920000000001"/>
    <s v="B51 B53 B55"/>
    <x v="2"/>
    <x v="0"/>
    <s v="NO"/>
    <s v="YES"/>
  </r>
  <r>
    <n v="1236"/>
    <x v="0"/>
    <x v="0"/>
    <s v="van Billiard, Master. James William"/>
    <x v="0"/>
    <x v="0"/>
    <n v="30.2"/>
    <n v="1"/>
    <n v="1"/>
    <s v="A/5. 851"/>
    <n v="14.5"/>
    <m/>
    <x v="1"/>
    <x v="0"/>
    <s v="YES"/>
    <s v="YES"/>
  </r>
  <r>
    <n v="1237"/>
    <x v="1"/>
    <x v="0"/>
    <s v="Abelseth, Miss. Karen Marie"/>
    <x v="1"/>
    <x v="3"/>
    <n v="16"/>
    <n v="0"/>
    <n v="0"/>
    <s v="348125"/>
    <n v="7.65"/>
    <m/>
    <x v="1"/>
    <x v="1"/>
    <s v="NO"/>
    <s v="NO"/>
  </r>
  <r>
    <n v="1238"/>
    <x v="0"/>
    <x v="1"/>
    <s v="Botsford, Mr. William Hull"/>
    <x v="0"/>
    <x v="2"/>
    <n v="26"/>
    <n v="0"/>
    <n v="0"/>
    <s v="237670"/>
    <n v="13"/>
    <m/>
    <x v="1"/>
    <x v="0"/>
    <s v="NO"/>
    <s v="NO"/>
  </r>
  <r>
    <n v="1239"/>
    <x v="1"/>
    <x v="0"/>
    <s v="Whabee, Mrs. George Joseph (Shawneene Abi-Saab)"/>
    <x v="1"/>
    <x v="0"/>
    <n v="38"/>
    <n v="0"/>
    <n v="0"/>
    <s v="2688"/>
    <n v="7.2291999999999996"/>
    <m/>
    <x v="2"/>
    <x v="0"/>
    <s v="NO"/>
    <s v="NO"/>
  </r>
  <r>
    <n v="1240"/>
    <x v="0"/>
    <x v="1"/>
    <s v="Giles, Mr. Ralph"/>
    <x v="0"/>
    <x v="2"/>
    <n v="24"/>
    <n v="0"/>
    <n v="0"/>
    <s v="248726"/>
    <n v="13.5"/>
    <m/>
    <x v="1"/>
    <x v="0"/>
    <s v="NO"/>
    <s v="NO"/>
  </r>
  <r>
    <n v="1241"/>
    <x v="1"/>
    <x v="1"/>
    <s v="Walcroft, Miss. Nellie"/>
    <x v="1"/>
    <x v="0"/>
    <n v="31"/>
    <n v="0"/>
    <n v="0"/>
    <s v="F.C.C. 13528"/>
    <n v="21"/>
    <m/>
    <x v="1"/>
    <x v="0"/>
    <s v="NO"/>
    <s v="NO"/>
  </r>
  <r>
    <n v="1242"/>
    <x v="1"/>
    <x v="2"/>
    <s v="Greenfield, Mrs. Leo David (Blanche Strouse)"/>
    <x v="1"/>
    <x v="0"/>
    <n v="45"/>
    <n v="0"/>
    <n v="1"/>
    <s v="Pc 17759"/>
    <n v="63.3583"/>
    <s v="D10 D12"/>
    <x v="2"/>
    <x v="0"/>
    <s v="NO"/>
    <s v="YES"/>
  </r>
  <r>
    <n v="1243"/>
    <x v="0"/>
    <x v="1"/>
    <s v="Stokes, Mr. Philip Joseph"/>
    <x v="0"/>
    <x v="2"/>
    <n v="25"/>
    <n v="0"/>
    <n v="0"/>
    <s v="F.C.C. 13540"/>
    <n v="10.5"/>
    <m/>
    <x v="1"/>
    <x v="0"/>
    <s v="NO"/>
    <s v="NO"/>
  </r>
  <r>
    <n v="1244"/>
    <x v="0"/>
    <x v="1"/>
    <s v="Dibden, Mr. William"/>
    <x v="0"/>
    <x v="2"/>
    <n v="18"/>
    <n v="0"/>
    <n v="0"/>
    <s v="S.O.C. 14879"/>
    <n v="73.5"/>
    <m/>
    <x v="1"/>
    <x v="0"/>
    <s v="NO"/>
    <s v="NO"/>
  </r>
  <r>
    <n v="1245"/>
    <x v="0"/>
    <x v="1"/>
    <s v="Herman, Mr. Samuel"/>
    <x v="0"/>
    <x v="0"/>
    <n v="49"/>
    <n v="1"/>
    <n v="2"/>
    <s v="220845"/>
    <n v="65"/>
    <m/>
    <x v="1"/>
    <x v="0"/>
    <s v="YES"/>
    <s v="YES"/>
  </r>
  <r>
    <n v="1246"/>
    <x v="1"/>
    <x v="0"/>
    <s v="Dean, Miss. Elizabeth Gladys Millvina&quot;&quot;"/>
    <x v="1"/>
    <x v="3"/>
    <n v="0.17"/>
    <n v="1"/>
    <n v="2"/>
    <s v="C.A. 2315"/>
    <n v="20.574999999999999"/>
    <m/>
    <x v="1"/>
    <x v="1"/>
    <s v="YES"/>
    <s v="YES"/>
  </r>
  <r>
    <n v="1247"/>
    <x v="0"/>
    <x v="2"/>
    <s v="Julian, Mr. Henry Forbes"/>
    <x v="0"/>
    <x v="0"/>
    <n v="50"/>
    <n v="0"/>
    <n v="0"/>
    <s v="113044"/>
    <n v="26"/>
    <s v="E60"/>
    <x v="1"/>
    <x v="0"/>
    <s v="NO"/>
    <s v="NO"/>
  </r>
  <r>
    <n v="1248"/>
    <x v="1"/>
    <x v="2"/>
    <s v="Brown, Mrs. John Murray (Caroline Lane Lamson)"/>
    <x v="1"/>
    <x v="0"/>
    <n v="59"/>
    <n v="2"/>
    <n v="0"/>
    <s v="11769"/>
    <n v="51.479199999999999"/>
    <s v="C101"/>
    <x v="1"/>
    <x v="0"/>
    <s v="YES"/>
    <s v="NO"/>
  </r>
  <r>
    <n v="1249"/>
    <x v="0"/>
    <x v="0"/>
    <s v="Lockyer, Mr. Edward"/>
    <x v="0"/>
    <x v="0"/>
    <n v="30.2"/>
    <n v="0"/>
    <n v="0"/>
    <s v="1222"/>
    <n v="7.8792"/>
    <m/>
    <x v="1"/>
    <x v="0"/>
    <s v="NO"/>
    <s v="NO"/>
  </r>
  <r>
    <n v="1250"/>
    <x v="0"/>
    <x v="0"/>
    <s v="O'Keefe, Mr. Patrick"/>
    <x v="0"/>
    <x v="0"/>
    <n v="30.2"/>
    <n v="0"/>
    <n v="0"/>
    <s v="368402"/>
    <n v="7.75"/>
    <m/>
    <x v="0"/>
    <x v="0"/>
    <s v="NO"/>
    <s v="NO"/>
  </r>
  <r>
    <n v="1251"/>
    <x v="1"/>
    <x v="0"/>
    <s v="Lindell, Mrs. Edvard Bengtsson (Elin Gerda Persson)"/>
    <x v="1"/>
    <x v="0"/>
    <n v="30"/>
    <n v="1"/>
    <n v="0"/>
    <s v="349910"/>
    <n v="15.55"/>
    <m/>
    <x v="1"/>
    <x v="0"/>
    <s v="YES"/>
    <s v="NO"/>
  </r>
  <r>
    <n v="1252"/>
    <x v="0"/>
    <x v="0"/>
    <s v="Sage, Master. William Henry"/>
    <x v="0"/>
    <x v="3"/>
    <n v="14.5"/>
    <n v="8"/>
    <n v="2"/>
    <s v="Ca. 2343"/>
    <n v="69.55"/>
    <m/>
    <x v="1"/>
    <x v="1"/>
    <s v="YES"/>
    <s v="YES"/>
  </r>
  <r>
    <n v="1253"/>
    <x v="1"/>
    <x v="1"/>
    <s v="Mallet, Mrs. Albert (Antoinette Magnin)"/>
    <x v="1"/>
    <x v="2"/>
    <n v="24"/>
    <n v="1"/>
    <n v="1"/>
    <s v="S.C./Paris 2079"/>
    <n v="37.004199999999997"/>
    <m/>
    <x v="2"/>
    <x v="0"/>
    <s v="YES"/>
    <s v="YES"/>
  </r>
  <r>
    <n v="1254"/>
    <x v="1"/>
    <x v="1"/>
    <s v="Ware, Mrs. John James (Florence Louise Long)"/>
    <x v="1"/>
    <x v="0"/>
    <n v="31"/>
    <n v="0"/>
    <n v="0"/>
    <s v="Ca 31352"/>
    <n v="21"/>
    <m/>
    <x v="1"/>
    <x v="0"/>
    <s v="NO"/>
    <s v="NO"/>
  </r>
  <r>
    <n v="1255"/>
    <x v="0"/>
    <x v="0"/>
    <s v="Strilic, Mr. Ivan"/>
    <x v="0"/>
    <x v="2"/>
    <n v="27"/>
    <n v="0"/>
    <n v="0"/>
    <s v="315083"/>
    <n v="8.6624999999999996"/>
    <m/>
    <x v="1"/>
    <x v="0"/>
    <s v="NO"/>
    <s v="NO"/>
  </r>
  <r>
    <n v="1256"/>
    <x v="1"/>
    <x v="2"/>
    <s v="Harder, Mrs. George Achilles (Dorothy Annan)"/>
    <x v="1"/>
    <x v="2"/>
    <n v="25"/>
    <n v="1"/>
    <n v="0"/>
    <s v="11765"/>
    <n v="55.441699999999997"/>
    <s v="E50"/>
    <x v="2"/>
    <x v="0"/>
    <s v="YES"/>
    <s v="NO"/>
  </r>
  <r>
    <n v="1257"/>
    <x v="1"/>
    <x v="0"/>
    <s v="Sage, Mrs. John (Annie Bullen)"/>
    <x v="1"/>
    <x v="0"/>
    <n v="30.2"/>
    <n v="1"/>
    <n v="9"/>
    <s v="Ca. 2343"/>
    <n v="69.55"/>
    <m/>
    <x v="1"/>
    <x v="0"/>
    <s v="YES"/>
    <s v="YES"/>
  </r>
  <r>
    <n v="1258"/>
    <x v="0"/>
    <x v="0"/>
    <s v="Caram, Mr. Joseph"/>
    <x v="0"/>
    <x v="0"/>
    <n v="30.2"/>
    <n v="1"/>
    <n v="0"/>
    <s v="2689"/>
    <n v="14.458299999999999"/>
    <m/>
    <x v="2"/>
    <x v="0"/>
    <s v="YES"/>
    <s v="NO"/>
  </r>
  <r>
    <n v="1259"/>
    <x v="1"/>
    <x v="0"/>
    <s v="Riihivouri, Miss. Susanna Juhantytar Sanni&quot;&quot;"/>
    <x v="1"/>
    <x v="2"/>
    <n v="22"/>
    <n v="0"/>
    <n v="0"/>
    <s v="3101295"/>
    <n v="39.6875"/>
    <m/>
    <x v="1"/>
    <x v="0"/>
    <s v="NO"/>
    <s v="NO"/>
  </r>
  <r>
    <n v="1260"/>
    <x v="1"/>
    <x v="2"/>
    <s v="Gibson, Mrs. Leonard (Pauline C Boeson)"/>
    <x v="1"/>
    <x v="0"/>
    <n v="45"/>
    <n v="0"/>
    <n v="1"/>
    <s v="112378"/>
    <n v="59.4"/>
    <m/>
    <x v="2"/>
    <x v="0"/>
    <s v="NO"/>
    <s v="YES"/>
  </r>
  <r>
    <n v="1261"/>
    <x v="0"/>
    <x v="1"/>
    <s v="Pallas y Castello, Mr. Emilio"/>
    <x v="0"/>
    <x v="2"/>
    <n v="29"/>
    <n v="0"/>
    <n v="0"/>
    <s v="Sc/Paris 2147"/>
    <n v="13.8583"/>
    <m/>
    <x v="2"/>
    <x v="0"/>
    <s v="NO"/>
    <s v="NO"/>
  </r>
  <r>
    <n v="1262"/>
    <x v="0"/>
    <x v="1"/>
    <s v="Giles, Mr. Edgar"/>
    <x v="0"/>
    <x v="2"/>
    <n v="21"/>
    <n v="1"/>
    <n v="0"/>
    <s v="28133"/>
    <n v="11.5"/>
    <m/>
    <x v="1"/>
    <x v="0"/>
    <s v="YES"/>
    <s v="NO"/>
  </r>
  <r>
    <n v="1263"/>
    <x v="1"/>
    <x v="2"/>
    <s v="Wilson, Miss. Helen Alice"/>
    <x v="1"/>
    <x v="0"/>
    <n v="31"/>
    <n v="0"/>
    <n v="0"/>
    <s v="16966"/>
    <n v="134.5"/>
    <s v="E39 E41"/>
    <x v="2"/>
    <x v="0"/>
    <s v="NO"/>
    <s v="NO"/>
  </r>
  <r>
    <n v="1264"/>
    <x v="0"/>
    <x v="2"/>
    <s v="Ismay, Mr. Joseph Bruce"/>
    <x v="0"/>
    <x v="0"/>
    <n v="49"/>
    <n v="0"/>
    <n v="0"/>
    <s v="112058"/>
    <n v="0"/>
    <s v="B52 B54 B56"/>
    <x v="1"/>
    <x v="0"/>
    <s v="NO"/>
    <s v="NO"/>
  </r>
  <r>
    <n v="1265"/>
    <x v="0"/>
    <x v="1"/>
    <s v="Harbeck, Mr. William H"/>
    <x v="0"/>
    <x v="0"/>
    <n v="44"/>
    <n v="0"/>
    <n v="0"/>
    <s v="248746"/>
    <n v="13"/>
    <m/>
    <x v="1"/>
    <x v="0"/>
    <s v="NO"/>
    <s v="NO"/>
  </r>
  <r>
    <n v="1266"/>
    <x v="1"/>
    <x v="2"/>
    <s v="Dodge, Mrs. Washington (Ruth Vidaver)"/>
    <x v="1"/>
    <x v="0"/>
    <n v="54"/>
    <n v="1"/>
    <n v="1"/>
    <s v="33638"/>
    <n v="81.8583"/>
    <s v="A34"/>
    <x v="1"/>
    <x v="0"/>
    <s v="YES"/>
    <s v="YES"/>
  </r>
  <r>
    <n v="1267"/>
    <x v="1"/>
    <x v="2"/>
    <s v="Bowen, Miss. Grace Scott"/>
    <x v="1"/>
    <x v="0"/>
    <n v="45"/>
    <n v="0"/>
    <n v="0"/>
    <s v="Pc 17608"/>
    <n v="262.375"/>
    <m/>
    <x v="2"/>
    <x v="0"/>
    <s v="NO"/>
    <s v="NO"/>
  </r>
  <r>
    <n v="1268"/>
    <x v="1"/>
    <x v="0"/>
    <s v="Kink, Miss. Maria"/>
    <x v="1"/>
    <x v="2"/>
    <n v="22"/>
    <n v="2"/>
    <n v="0"/>
    <s v="315152"/>
    <n v="8.6624999999999996"/>
    <m/>
    <x v="1"/>
    <x v="0"/>
    <s v="YES"/>
    <s v="NO"/>
  </r>
  <r>
    <n v="1269"/>
    <x v="0"/>
    <x v="1"/>
    <s v="Cotterill, Mr. Henry Harry&quot;&quot;"/>
    <x v="0"/>
    <x v="2"/>
    <n v="21"/>
    <n v="0"/>
    <n v="0"/>
    <s v="29107"/>
    <n v="11.5"/>
    <m/>
    <x v="1"/>
    <x v="0"/>
    <s v="NO"/>
    <s v="NO"/>
  </r>
  <r>
    <n v="1270"/>
    <x v="0"/>
    <x v="2"/>
    <s v="Hipkins, Mr. William Edward"/>
    <x v="0"/>
    <x v="0"/>
    <n v="55"/>
    <n v="0"/>
    <n v="0"/>
    <s v="680"/>
    <n v="50"/>
    <s v="C39"/>
    <x v="1"/>
    <x v="0"/>
    <s v="NO"/>
    <s v="NO"/>
  </r>
  <r>
    <n v="1271"/>
    <x v="0"/>
    <x v="0"/>
    <s v="Asplund, Master. Carl Edgar"/>
    <x v="0"/>
    <x v="3"/>
    <n v="5"/>
    <n v="4"/>
    <n v="2"/>
    <s v="347077"/>
    <n v="31.387499999999999"/>
    <m/>
    <x v="1"/>
    <x v="1"/>
    <s v="YES"/>
    <s v="YES"/>
  </r>
  <r>
    <n v="1272"/>
    <x v="0"/>
    <x v="0"/>
    <s v="O'Connor, Mr. Patrick"/>
    <x v="0"/>
    <x v="0"/>
    <n v="30.2"/>
    <n v="0"/>
    <n v="0"/>
    <s v="366713"/>
    <n v="7.75"/>
    <m/>
    <x v="0"/>
    <x v="0"/>
    <s v="NO"/>
    <s v="NO"/>
  </r>
  <r>
    <n v="1273"/>
    <x v="0"/>
    <x v="0"/>
    <s v="Foley, Mr. Joseph"/>
    <x v="0"/>
    <x v="2"/>
    <n v="26"/>
    <n v="0"/>
    <n v="0"/>
    <s v="330910"/>
    <n v="7.8792"/>
    <m/>
    <x v="0"/>
    <x v="0"/>
    <s v="NO"/>
    <s v="NO"/>
  </r>
  <r>
    <n v="1274"/>
    <x v="1"/>
    <x v="0"/>
    <s v="Risien, Mrs. Samuel (Emma)"/>
    <x v="1"/>
    <x v="0"/>
    <n v="30.2"/>
    <n v="0"/>
    <n v="0"/>
    <s v="364498"/>
    <n v="14.5"/>
    <m/>
    <x v="1"/>
    <x v="0"/>
    <s v="NO"/>
    <s v="NO"/>
  </r>
  <r>
    <n v="1275"/>
    <x v="1"/>
    <x v="0"/>
    <s v="McNamee, Mrs. Neal (Eileen O'Leary)"/>
    <x v="1"/>
    <x v="2"/>
    <n v="19"/>
    <n v="1"/>
    <n v="0"/>
    <s v="376566"/>
    <n v="16.100000000000001"/>
    <m/>
    <x v="1"/>
    <x v="0"/>
    <s v="YES"/>
    <s v="NO"/>
  </r>
  <r>
    <n v="1276"/>
    <x v="0"/>
    <x v="1"/>
    <s v="Wheeler, Mr. Edwin Frederick&quot;&quot;"/>
    <x v="0"/>
    <x v="0"/>
    <n v="30.2"/>
    <n v="0"/>
    <n v="0"/>
    <s v="Sc/Paris 2159"/>
    <n v="12.875"/>
    <m/>
    <x v="1"/>
    <x v="0"/>
    <s v="NO"/>
    <s v="NO"/>
  </r>
  <r>
    <n v="1277"/>
    <x v="1"/>
    <x v="1"/>
    <s v="Herman, Miss. Kate"/>
    <x v="1"/>
    <x v="2"/>
    <n v="24"/>
    <n v="1"/>
    <n v="2"/>
    <s v="220845"/>
    <n v="65"/>
    <m/>
    <x v="1"/>
    <x v="0"/>
    <s v="YES"/>
    <s v="YES"/>
  </r>
  <r>
    <n v="1278"/>
    <x v="0"/>
    <x v="0"/>
    <s v="Aronsson, Mr. Ernst Axel Algot"/>
    <x v="0"/>
    <x v="2"/>
    <n v="24"/>
    <n v="0"/>
    <n v="0"/>
    <s v="349911"/>
    <n v="7.7750000000000004"/>
    <m/>
    <x v="1"/>
    <x v="0"/>
    <s v="NO"/>
    <s v="NO"/>
  </r>
  <r>
    <n v="1279"/>
    <x v="0"/>
    <x v="1"/>
    <s v="Ashby, Mr. John"/>
    <x v="0"/>
    <x v="0"/>
    <n v="57"/>
    <n v="0"/>
    <n v="0"/>
    <s v="244346"/>
    <n v="13"/>
    <m/>
    <x v="1"/>
    <x v="0"/>
    <s v="NO"/>
    <s v="NO"/>
  </r>
  <r>
    <n v="1280"/>
    <x v="0"/>
    <x v="0"/>
    <s v="Canavan, Mr. Patrick"/>
    <x v="0"/>
    <x v="2"/>
    <n v="21"/>
    <n v="0"/>
    <n v="0"/>
    <s v="364858"/>
    <n v="7.75"/>
    <m/>
    <x v="0"/>
    <x v="0"/>
    <s v="NO"/>
    <s v="NO"/>
  </r>
  <r>
    <n v="1281"/>
    <x v="0"/>
    <x v="0"/>
    <s v="Palsson, Master. Paul Folke"/>
    <x v="0"/>
    <x v="3"/>
    <n v="6"/>
    <n v="3"/>
    <n v="1"/>
    <s v="349909"/>
    <n v="21.074999999999999"/>
    <m/>
    <x v="1"/>
    <x v="1"/>
    <s v="YES"/>
    <s v="YES"/>
  </r>
  <r>
    <n v="1282"/>
    <x v="0"/>
    <x v="2"/>
    <s v="Payne, Mr. Vivian Ponsonby"/>
    <x v="0"/>
    <x v="2"/>
    <n v="23"/>
    <n v="0"/>
    <n v="0"/>
    <s v="12749"/>
    <n v="93.5"/>
    <s v="B24"/>
    <x v="1"/>
    <x v="0"/>
    <s v="NO"/>
    <s v="NO"/>
  </r>
  <r>
    <n v="1283"/>
    <x v="1"/>
    <x v="2"/>
    <s v="Lines, Mrs. Ernest H (Elizabeth Lindsey James)"/>
    <x v="1"/>
    <x v="0"/>
    <n v="51"/>
    <n v="0"/>
    <n v="1"/>
    <s v="Pc 17592"/>
    <n v="39.4"/>
    <s v="D28"/>
    <x v="1"/>
    <x v="0"/>
    <s v="NO"/>
    <s v="YES"/>
  </r>
  <r>
    <n v="1284"/>
    <x v="0"/>
    <x v="0"/>
    <s v="Abbott, Master. Eugene Joseph"/>
    <x v="0"/>
    <x v="3"/>
    <n v="13"/>
    <n v="0"/>
    <n v="2"/>
    <s v="C.A. 2673"/>
    <n v="20.25"/>
    <m/>
    <x v="1"/>
    <x v="1"/>
    <s v="NO"/>
    <s v="YES"/>
  </r>
  <r>
    <n v="1285"/>
    <x v="0"/>
    <x v="1"/>
    <s v="Gilbert, Mr. William"/>
    <x v="0"/>
    <x v="0"/>
    <n v="47"/>
    <n v="0"/>
    <n v="0"/>
    <s v="C.A. 30769"/>
    <n v="10.5"/>
    <m/>
    <x v="1"/>
    <x v="0"/>
    <s v="NO"/>
    <s v="NO"/>
  </r>
  <r>
    <n v="1286"/>
    <x v="0"/>
    <x v="0"/>
    <s v="Kink-Heilmann, Mr. Anton"/>
    <x v="0"/>
    <x v="2"/>
    <n v="29"/>
    <n v="3"/>
    <n v="1"/>
    <s v="315153"/>
    <n v="22.024999999999999"/>
    <m/>
    <x v="1"/>
    <x v="0"/>
    <s v="YES"/>
    <s v="YES"/>
  </r>
  <r>
    <n v="1287"/>
    <x v="1"/>
    <x v="2"/>
    <s v="Smith, Mrs. Lucien Philip (Mary Eloise Hughes)"/>
    <x v="1"/>
    <x v="2"/>
    <n v="18"/>
    <n v="1"/>
    <n v="0"/>
    <s v="13695"/>
    <n v="60"/>
    <s v="C31"/>
    <x v="1"/>
    <x v="0"/>
    <s v="YES"/>
    <s v="NO"/>
  </r>
  <r>
    <n v="1288"/>
    <x v="0"/>
    <x v="0"/>
    <s v="Colbert, Mr. Patrick"/>
    <x v="0"/>
    <x v="2"/>
    <n v="24"/>
    <n v="0"/>
    <n v="0"/>
    <s v="371109"/>
    <n v="7.25"/>
    <m/>
    <x v="0"/>
    <x v="0"/>
    <s v="NO"/>
    <s v="NO"/>
  </r>
  <r>
    <n v="1289"/>
    <x v="1"/>
    <x v="2"/>
    <s v="Frolicher-Stehli, Mrs. Maxmillian (Margaretha Emerentia Stehli)"/>
    <x v="1"/>
    <x v="0"/>
    <n v="48"/>
    <n v="1"/>
    <n v="1"/>
    <s v="13567"/>
    <n v="79.2"/>
    <s v="B41"/>
    <x v="2"/>
    <x v="0"/>
    <s v="YES"/>
    <s v="YES"/>
  </r>
  <r>
    <n v="1290"/>
    <x v="0"/>
    <x v="0"/>
    <s v="Larsson-Rondberg, Mr. Edvard A"/>
    <x v="0"/>
    <x v="2"/>
    <n v="22"/>
    <n v="0"/>
    <n v="0"/>
    <s v="347065"/>
    <n v="7.7750000000000004"/>
    <m/>
    <x v="1"/>
    <x v="0"/>
    <s v="NO"/>
    <s v="NO"/>
  </r>
  <r>
    <n v="1291"/>
    <x v="0"/>
    <x v="0"/>
    <s v="Conlon, Mr. Thomas Henry"/>
    <x v="0"/>
    <x v="0"/>
    <n v="31"/>
    <n v="0"/>
    <n v="0"/>
    <s v="21332"/>
    <n v="7.7332999999999998"/>
    <m/>
    <x v="0"/>
    <x v="0"/>
    <s v="NO"/>
    <s v="NO"/>
  </r>
  <r>
    <n v="1292"/>
    <x v="1"/>
    <x v="2"/>
    <s v="Bonnell, Miss. Caroline"/>
    <x v="1"/>
    <x v="0"/>
    <n v="30"/>
    <n v="0"/>
    <n v="0"/>
    <s v="36928"/>
    <n v="164.86670000000001"/>
    <s v="C7"/>
    <x v="1"/>
    <x v="0"/>
    <s v="NO"/>
    <s v="NO"/>
  </r>
  <r>
    <n v="1293"/>
    <x v="0"/>
    <x v="1"/>
    <s v="Gale, Mr. Harry"/>
    <x v="0"/>
    <x v="0"/>
    <n v="38"/>
    <n v="1"/>
    <n v="0"/>
    <s v="28664"/>
    <n v="21"/>
    <m/>
    <x v="1"/>
    <x v="0"/>
    <s v="YES"/>
    <s v="NO"/>
  </r>
  <r>
    <n v="1294"/>
    <x v="1"/>
    <x v="2"/>
    <s v="Gibson, Miss. Dorothy Winifred"/>
    <x v="1"/>
    <x v="2"/>
    <n v="22"/>
    <n v="0"/>
    <n v="1"/>
    <s v="112378"/>
    <n v="59.4"/>
    <m/>
    <x v="2"/>
    <x v="0"/>
    <s v="NO"/>
    <s v="YES"/>
  </r>
  <r>
    <n v="1295"/>
    <x v="0"/>
    <x v="2"/>
    <s v="Carrau, Mr. Jose Pedro"/>
    <x v="0"/>
    <x v="3"/>
    <n v="17"/>
    <n v="0"/>
    <n v="0"/>
    <s v="113059"/>
    <n v="47.1"/>
    <m/>
    <x v="1"/>
    <x v="1"/>
    <s v="NO"/>
    <s v="NO"/>
  </r>
  <r>
    <n v="1296"/>
    <x v="0"/>
    <x v="2"/>
    <s v="Frauenthal, Mr. Isaac Gerald"/>
    <x v="0"/>
    <x v="0"/>
    <n v="43"/>
    <n v="1"/>
    <n v="0"/>
    <s v="17765"/>
    <n v="27.720800000000001"/>
    <s v="D40"/>
    <x v="2"/>
    <x v="0"/>
    <s v="YES"/>
    <s v="NO"/>
  </r>
  <r>
    <n v="1297"/>
    <x v="0"/>
    <x v="1"/>
    <s v="Nourney, Mr. Alfred (Baron von Drachstedt&quot;)&quot;"/>
    <x v="0"/>
    <x v="2"/>
    <n v="20"/>
    <n v="0"/>
    <n v="0"/>
    <s v="Sc/Paris 2166"/>
    <n v="13.862500000000001"/>
    <s v="D38"/>
    <x v="2"/>
    <x v="0"/>
    <s v="NO"/>
    <s v="NO"/>
  </r>
  <r>
    <n v="1298"/>
    <x v="0"/>
    <x v="1"/>
    <s v="Ware, Mr. William Jeffery"/>
    <x v="0"/>
    <x v="2"/>
    <n v="23"/>
    <n v="1"/>
    <n v="0"/>
    <s v="28666"/>
    <n v="10.5"/>
    <m/>
    <x v="1"/>
    <x v="0"/>
    <s v="YES"/>
    <s v="NO"/>
  </r>
  <r>
    <n v="1299"/>
    <x v="0"/>
    <x v="2"/>
    <s v="Widener, Mr. George Dunton"/>
    <x v="0"/>
    <x v="0"/>
    <n v="50"/>
    <n v="1"/>
    <n v="1"/>
    <s v="113503"/>
    <n v="211.5"/>
    <s v="C80"/>
    <x v="2"/>
    <x v="0"/>
    <s v="YES"/>
    <s v="YES"/>
  </r>
  <r>
    <n v="1300"/>
    <x v="1"/>
    <x v="0"/>
    <s v="Riordan, Miss. Johanna Hannah&quot;&quot;"/>
    <x v="1"/>
    <x v="0"/>
    <n v="30.2"/>
    <n v="0"/>
    <n v="0"/>
    <s v="334915"/>
    <n v="7.7207999999999997"/>
    <m/>
    <x v="0"/>
    <x v="0"/>
    <s v="NO"/>
    <s v="NO"/>
  </r>
  <r>
    <n v="1301"/>
    <x v="1"/>
    <x v="0"/>
    <s v="Peacock, Miss. Treasteall"/>
    <x v="1"/>
    <x v="3"/>
    <n v="3"/>
    <n v="1"/>
    <n v="1"/>
    <s v="Soton/O.Q. 3101315"/>
    <n v="13.775"/>
    <m/>
    <x v="1"/>
    <x v="1"/>
    <s v="YES"/>
    <s v="YES"/>
  </r>
  <r>
    <n v="1302"/>
    <x v="1"/>
    <x v="0"/>
    <s v="Naughton, Miss. Hannah"/>
    <x v="1"/>
    <x v="0"/>
    <n v="30.2"/>
    <n v="0"/>
    <n v="0"/>
    <s v="365237"/>
    <n v="7.75"/>
    <m/>
    <x v="0"/>
    <x v="0"/>
    <s v="NO"/>
    <s v="NO"/>
  </r>
  <r>
    <n v="1303"/>
    <x v="1"/>
    <x v="2"/>
    <s v="Minahan, Mrs. William Edward (Lillian E Thorpe)"/>
    <x v="1"/>
    <x v="0"/>
    <n v="37"/>
    <n v="1"/>
    <n v="0"/>
    <s v="19928"/>
    <n v="90"/>
    <s v="C78"/>
    <x v="0"/>
    <x v="0"/>
    <s v="YES"/>
    <s v="NO"/>
  </r>
  <r>
    <n v="1304"/>
    <x v="1"/>
    <x v="0"/>
    <s v="Henriksson, Miss. Jenny Lovisa"/>
    <x v="1"/>
    <x v="2"/>
    <n v="28"/>
    <n v="0"/>
    <n v="0"/>
    <s v="347086"/>
    <n v="7.7750000000000004"/>
    <m/>
    <x v="1"/>
    <x v="0"/>
    <s v="NO"/>
    <s v="NO"/>
  </r>
  <r>
    <n v="1305"/>
    <x v="0"/>
    <x v="0"/>
    <s v="Spector, Mr. Woolf"/>
    <x v="0"/>
    <x v="0"/>
    <n v="30.2"/>
    <n v="0"/>
    <n v="0"/>
    <s v="A.5. 3236"/>
    <n v="8.0500000000000007"/>
    <m/>
    <x v="1"/>
    <x v="0"/>
    <s v="NO"/>
    <s v="NO"/>
  </r>
  <r>
    <n v="1306"/>
    <x v="1"/>
    <x v="2"/>
    <s v="Oliva y Ocana, Dona. Fermina"/>
    <x v="1"/>
    <x v="0"/>
    <n v="39"/>
    <n v="0"/>
    <n v="0"/>
    <s v="Pc 17758"/>
    <n v="108.9"/>
    <s v="C105"/>
    <x v="2"/>
    <x v="0"/>
    <s v="NO"/>
    <s v="NO"/>
  </r>
  <r>
    <n v="1307"/>
    <x v="0"/>
    <x v="0"/>
    <s v="Saether, Mr. Simon Sivertsen"/>
    <x v="0"/>
    <x v="0"/>
    <n v="38.5"/>
    <n v="0"/>
    <n v="0"/>
    <s v="Soton/O.Q. 3101262"/>
    <n v="7.25"/>
    <m/>
    <x v="1"/>
    <x v="0"/>
    <s v="NO"/>
    <s v="NO"/>
  </r>
  <r>
    <n v="1308"/>
    <x v="0"/>
    <x v="0"/>
    <s v="Ware, Mr. Frederick"/>
    <x v="0"/>
    <x v="0"/>
    <n v="30.2"/>
    <n v="0"/>
    <n v="0"/>
    <s v="359309"/>
    <n v="8.0500000000000007"/>
    <m/>
    <x v="1"/>
    <x v="0"/>
    <s v="NO"/>
    <s v="NO"/>
  </r>
  <r>
    <n v="1309"/>
    <x v="0"/>
    <x v="0"/>
    <s v="Peter, Master. Michael J"/>
    <x v="0"/>
    <x v="0"/>
    <n v="30.2"/>
    <n v="1"/>
    <n v="1"/>
    <s v="2668"/>
    <n v="22.3583"/>
    <m/>
    <x v="2"/>
    <x v="0"/>
    <s v="YES"/>
    <s v="YES"/>
  </r>
  <r>
    <m/>
    <x v="2"/>
    <x v="3"/>
    <m/>
    <x v="2"/>
    <x v="4"/>
    <m/>
    <m/>
    <m/>
    <m/>
    <m/>
    <m/>
    <x v="3"/>
    <x v="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892"/>
    <x v="0"/>
    <x v="0"/>
    <s v="Kelly, Mr. James"/>
    <x v="0"/>
    <x v="0"/>
    <n v="34.5"/>
    <n v="0"/>
    <n v="0"/>
    <s v="330911"/>
    <n v="7.8292000000000002"/>
    <m/>
    <x v="0"/>
    <s v="NO"/>
    <x v="0"/>
    <x v="0"/>
  </r>
  <r>
    <n v="893"/>
    <x v="1"/>
    <x v="0"/>
    <s v="Wilkes, Mrs. James (Ellen Needs)"/>
    <x v="1"/>
    <x v="0"/>
    <n v="47"/>
    <n v="1"/>
    <n v="0"/>
    <s v="363272"/>
    <n v="7"/>
    <m/>
    <x v="1"/>
    <s v="NO"/>
    <x v="1"/>
    <x v="0"/>
  </r>
  <r>
    <n v="894"/>
    <x v="0"/>
    <x v="1"/>
    <s v="Myles, Mr. Thomas Francis"/>
    <x v="0"/>
    <x v="1"/>
    <n v="62"/>
    <n v="0"/>
    <n v="0"/>
    <s v="240276"/>
    <n v="9.6875"/>
    <m/>
    <x v="0"/>
    <s v="NO"/>
    <x v="0"/>
    <x v="0"/>
  </r>
  <r>
    <n v="895"/>
    <x v="0"/>
    <x v="0"/>
    <s v="Wirz, Mr. Albert"/>
    <x v="0"/>
    <x v="2"/>
    <n v="27"/>
    <n v="0"/>
    <n v="0"/>
    <s v="315154"/>
    <n v="8.6624999999999996"/>
    <m/>
    <x v="1"/>
    <s v="NO"/>
    <x v="0"/>
    <x v="0"/>
  </r>
  <r>
    <n v="896"/>
    <x v="1"/>
    <x v="0"/>
    <s v="Hirvonen, Mrs. Alexander (Helga E Lindqvist)"/>
    <x v="1"/>
    <x v="2"/>
    <n v="22"/>
    <n v="1"/>
    <n v="1"/>
    <s v="3101298"/>
    <n v="12.2875"/>
    <m/>
    <x v="1"/>
    <s v="NO"/>
    <x v="1"/>
    <x v="1"/>
  </r>
  <r>
    <n v="897"/>
    <x v="0"/>
    <x v="0"/>
    <s v="Svensson, Mr. Johan Cervin"/>
    <x v="0"/>
    <x v="3"/>
    <n v="14"/>
    <n v="0"/>
    <n v="0"/>
    <s v="7538"/>
    <n v="9.2249999999999996"/>
    <m/>
    <x v="1"/>
    <s v="YES"/>
    <x v="0"/>
    <x v="0"/>
  </r>
  <r>
    <n v="898"/>
    <x v="1"/>
    <x v="0"/>
    <s v="Connolly, Miss. Kate"/>
    <x v="1"/>
    <x v="0"/>
    <n v="30"/>
    <n v="0"/>
    <n v="0"/>
    <s v="330972"/>
    <n v="7.6292"/>
    <m/>
    <x v="0"/>
    <s v="NO"/>
    <x v="0"/>
    <x v="0"/>
  </r>
  <r>
    <n v="899"/>
    <x v="0"/>
    <x v="1"/>
    <s v="Caldwell, Mr. Albert Francis"/>
    <x v="0"/>
    <x v="2"/>
    <n v="26"/>
    <n v="1"/>
    <n v="1"/>
    <s v="248738"/>
    <n v="29"/>
    <m/>
    <x v="1"/>
    <s v="NO"/>
    <x v="1"/>
    <x v="1"/>
  </r>
  <r>
    <n v="900"/>
    <x v="1"/>
    <x v="0"/>
    <s v="Abrahim, Mrs. Joseph (Sophie Halaut Easu)"/>
    <x v="1"/>
    <x v="2"/>
    <n v="18"/>
    <n v="0"/>
    <n v="0"/>
    <s v="2657"/>
    <n v="7.2291999999999996"/>
    <m/>
    <x v="2"/>
    <s v="NO"/>
    <x v="0"/>
    <x v="0"/>
  </r>
  <r>
    <n v="901"/>
    <x v="0"/>
    <x v="0"/>
    <s v="Davies, Mr. John Samuel"/>
    <x v="0"/>
    <x v="2"/>
    <n v="21"/>
    <n v="2"/>
    <n v="0"/>
    <s v="A/4 48871"/>
    <n v="24.15"/>
    <m/>
    <x v="1"/>
    <s v="NO"/>
    <x v="1"/>
    <x v="0"/>
  </r>
  <r>
    <n v="902"/>
    <x v="0"/>
    <x v="0"/>
    <s v="Ilieff, Mr. Ylio"/>
    <x v="0"/>
    <x v="0"/>
    <n v="30.2"/>
    <n v="0"/>
    <n v="0"/>
    <s v="349220"/>
    <n v="7.8958000000000004"/>
    <m/>
    <x v="1"/>
    <s v="NO"/>
    <x v="0"/>
    <x v="0"/>
  </r>
  <r>
    <n v="903"/>
    <x v="0"/>
    <x v="2"/>
    <s v="Jones, Mr. Charles Cresson"/>
    <x v="0"/>
    <x v="0"/>
    <n v="46"/>
    <n v="0"/>
    <n v="0"/>
    <s v="694"/>
    <n v="26"/>
    <m/>
    <x v="1"/>
    <s v="NO"/>
    <x v="0"/>
    <x v="0"/>
  </r>
  <r>
    <n v="904"/>
    <x v="1"/>
    <x v="2"/>
    <s v="Snyder, Mrs. John Pillsbury (Nelle Stevenson)"/>
    <x v="1"/>
    <x v="2"/>
    <n v="23"/>
    <n v="1"/>
    <n v="0"/>
    <s v="21228"/>
    <n v="82.2667"/>
    <s v="B45"/>
    <x v="1"/>
    <s v="NO"/>
    <x v="1"/>
    <x v="0"/>
  </r>
  <r>
    <n v="905"/>
    <x v="0"/>
    <x v="1"/>
    <s v="Howard, Mr. Benjamin"/>
    <x v="0"/>
    <x v="1"/>
    <n v="63"/>
    <n v="1"/>
    <n v="0"/>
    <s v="24065"/>
    <n v="26"/>
    <m/>
    <x v="1"/>
    <s v="NO"/>
    <x v="1"/>
    <x v="0"/>
  </r>
  <r>
    <n v="906"/>
    <x v="1"/>
    <x v="2"/>
    <s v="Chaffee, Mrs. Herbert Fuller (Carrie Constance Toogood)"/>
    <x v="1"/>
    <x v="0"/>
    <n v="47"/>
    <n v="1"/>
    <n v="0"/>
    <s v="W.E.P. 5734"/>
    <n v="61.174999999999997"/>
    <s v="E31"/>
    <x v="1"/>
    <s v="NO"/>
    <x v="1"/>
    <x v="0"/>
  </r>
  <r>
    <n v="907"/>
    <x v="1"/>
    <x v="1"/>
    <s v="del Carlo, Mrs. Sebastiano (Argenia Genovesi)"/>
    <x v="1"/>
    <x v="2"/>
    <n v="24"/>
    <n v="1"/>
    <n v="0"/>
    <s v="Sc/Paris 2167"/>
    <n v="27.720800000000001"/>
    <m/>
    <x v="2"/>
    <s v="NO"/>
    <x v="1"/>
    <x v="0"/>
  </r>
  <r>
    <n v="908"/>
    <x v="0"/>
    <x v="1"/>
    <s v="Keane, Mr. Daniel"/>
    <x v="0"/>
    <x v="0"/>
    <n v="35"/>
    <n v="0"/>
    <n v="0"/>
    <s v="233734"/>
    <n v="12.35"/>
    <m/>
    <x v="0"/>
    <s v="NO"/>
    <x v="0"/>
    <x v="0"/>
  </r>
  <r>
    <n v="909"/>
    <x v="0"/>
    <x v="0"/>
    <s v="Assaf, Mr. Gerios"/>
    <x v="0"/>
    <x v="2"/>
    <n v="21"/>
    <n v="0"/>
    <n v="0"/>
    <s v="2692"/>
    <n v="7.2249999999999996"/>
    <m/>
    <x v="2"/>
    <s v="NO"/>
    <x v="0"/>
    <x v="0"/>
  </r>
  <r>
    <n v="910"/>
    <x v="1"/>
    <x v="0"/>
    <s v="Ilmakangas, Miss. Ida Livija"/>
    <x v="1"/>
    <x v="2"/>
    <n v="27"/>
    <n v="1"/>
    <n v="0"/>
    <s v="Ston/O2. 3101270"/>
    <n v="7.9249999999999998"/>
    <m/>
    <x v="1"/>
    <s v="NO"/>
    <x v="1"/>
    <x v="0"/>
  </r>
  <r>
    <n v="911"/>
    <x v="1"/>
    <x v="0"/>
    <s v="Assaf Khalil, Mrs. Mariana (Miriam&quot;)&quot;"/>
    <x v="1"/>
    <x v="0"/>
    <n v="45"/>
    <n v="0"/>
    <n v="0"/>
    <s v="2696"/>
    <n v="7.2249999999999996"/>
    <m/>
    <x v="2"/>
    <s v="NO"/>
    <x v="0"/>
    <x v="0"/>
  </r>
  <r>
    <n v="912"/>
    <x v="0"/>
    <x v="2"/>
    <s v="Rothschild, Mr. Martin"/>
    <x v="0"/>
    <x v="0"/>
    <n v="55"/>
    <n v="1"/>
    <n v="0"/>
    <s v="Pc 17603"/>
    <n v="59.4"/>
    <m/>
    <x v="2"/>
    <s v="NO"/>
    <x v="1"/>
    <x v="0"/>
  </r>
  <r>
    <n v="913"/>
    <x v="0"/>
    <x v="0"/>
    <s v="Olsen, Master. Artur Karl"/>
    <x v="0"/>
    <x v="3"/>
    <n v="9"/>
    <n v="0"/>
    <n v="1"/>
    <s v="C 17368"/>
    <n v="3.1707999999999998"/>
    <m/>
    <x v="1"/>
    <s v="YES"/>
    <x v="0"/>
    <x v="1"/>
  </r>
  <r>
    <n v="914"/>
    <x v="1"/>
    <x v="2"/>
    <s v="Flegenheim, Mrs. Alfred (Antoinette)"/>
    <x v="1"/>
    <x v="0"/>
    <n v="30.2"/>
    <n v="0"/>
    <n v="0"/>
    <s v="Pc 17598"/>
    <n v="31.683299999999999"/>
    <m/>
    <x v="1"/>
    <s v="NO"/>
    <x v="0"/>
    <x v="0"/>
  </r>
  <r>
    <n v="915"/>
    <x v="0"/>
    <x v="2"/>
    <s v="Williams, Mr. Richard Norris II"/>
    <x v="0"/>
    <x v="2"/>
    <n v="21"/>
    <n v="0"/>
    <n v="1"/>
    <s v="Pc 17597"/>
    <n v="61.379199999999997"/>
    <m/>
    <x v="2"/>
    <s v="NO"/>
    <x v="0"/>
    <x v="1"/>
  </r>
  <r>
    <n v="916"/>
    <x v="1"/>
    <x v="2"/>
    <s v="Ryerson, Mrs. Arthur Larned (Emily Maria Borie)"/>
    <x v="1"/>
    <x v="0"/>
    <n v="48"/>
    <n v="1"/>
    <n v="3"/>
    <s v="Pc 17608"/>
    <n v="262.375"/>
    <s v="B57 B59 B63 B66"/>
    <x v="2"/>
    <s v="NO"/>
    <x v="1"/>
    <x v="1"/>
  </r>
  <r>
    <n v="917"/>
    <x v="0"/>
    <x v="0"/>
    <s v="Robins, Mr. Alexander A"/>
    <x v="0"/>
    <x v="0"/>
    <n v="50"/>
    <n v="1"/>
    <n v="0"/>
    <s v="A/5. 3337"/>
    <n v="14.5"/>
    <m/>
    <x v="1"/>
    <s v="NO"/>
    <x v="1"/>
    <x v="0"/>
  </r>
  <r>
    <n v="918"/>
    <x v="1"/>
    <x v="2"/>
    <s v="Ostby, Miss. Helene Ragnhild"/>
    <x v="1"/>
    <x v="2"/>
    <n v="22"/>
    <n v="0"/>
    <n v="1"/>
    <s v="113509"/>
    <n v="61.979199999999999"/>
    <s v="B36"/>
    <x v="2"/>
    <s v="NO"/>
    <x v="0"/>
    <x v="1"/>
  </r>
  <r>
    <n v="919"/>
    <x v="0"/>
    <x v="0"/>
    <s v="Daher, Mr. Shedid"/>
    <x v="0"/>
    <x v="2"/>
    <n v="22.5"/>
    <n v="0"/>
    <n v="0"/>
    <s v="2698"/>
    <n v="7.2249999999999996"/>
    <m/>
    <x v="2"/>
    <s v="NO"/>
    <x v="0"/>
    <x v="0"/>
  </r>
  <r>
    <n v="920"/>
    <x v="0"/>
    <x v="2"/>
    <s v="Brady, Mr. John Bertram"/>
    <x v="0"/>
    <x v="0"/>
    <n v="41"/>
    <n v="0"/>
    <n v="0"/>
    <s v="113054"/>
    <n v="30.5"/>
    <s v="A21"/>
    <x v="1"/>
    <s v="NO"/>
    <x v="0"/>
    <x v="0"/>
  </r>
  <r>
    <n v="921"/>
    <x v="0"/>
    <x v="0"/>
    <s v="Samaan, Mr. Elias"/>
    <x v="0"/>
    <x v="0"/>
    <n v="30.2"/>
    <n v="2"/>
    <n v="0"/>
    <s v="2662"/>
    <n v="21.679200000000002"/>
    <m/>
    <x v="2"/>
    <s v="NO"/>
    <x v="1"/>
    <x v="0"/>
  </r>
  <r>
    <n v="922"/>
    <x v="0"/>
    <x v="1"/>
    <s v="Louch, Mr. Charles Alexander"/>
    <x v="0"/>
    <x v="0"/>
    <n v="50"/>
    <n v="1"/>
    <n v="0"/>
    <s v="Sc/Ah 3085"/>
    <n v="26"/>
    <m/>
    <x v="1"/>
    <s v="NO"/>
    <x v="1"/>
    <x v="0"/>
  </r>
  <r>
    <n v="923"/>
    <x v="0"/>
    <x v="1"/>
    <s v="Jefferys, Mr. Clifford Thomas"/>
    <x v="0"/>
    <x v="2"/>
    <n v="24"/>
    <n v="2"/>
    <n v="0"/>
    <s v="C.A. 31029"/>
    <n v="31.5"/>
    <m/>
    <x v="1"/>
    <s v="NO"/>
    <x v="1"/>
    <x v="0"/>
  </r>
  <r>
    <n v="924"/>
    <x v="1"/>
    <x v="0"/>
    <s v="Dean, Mrs. Bertram (Eva Georgetta Light)"/>
    <x v="1"/>
    <x v="0"/>
    <n v="33"/>
    <n v="1"/>
    <n v="2"/>
    <s v="C.A. 2315"/>
    <n v="20.574999999999999"/>
    <m/>
    <x v="1"/>
    <s v="NO"/>
    <x v="1"/>
    <x v="1"/>
  </r>
  <r>
    <n v="925"/>
    <x v="1"/>
    <x v="0"/>
    <s v="Johnston, Mrs. Andrew G (Elizabeth Lily&quot; Watson)&quot;"/>
    <x v="1"/>
    <x v="0"/>
    <n v="30.2"/>
    <n v="1"/>
    <n v="2"/>
    <s v="W./C. 6607"/>
    <n v="23.45"/>
    <m/>
    <x v="1"/>
    <s v="NO"/>
    <x v="1"/>
    <x v="1"/>
  </r>
  <r>
    <n v="926"/>
    <x v="0"/>
    <x v="2"/>
    <s v="Mock, Mr. Philipp Edmund"/>
    <x v="0"/>
    <x v="0"/>
    <n v="30"/>
    <n v="1"/>
    <n v="0"/>
    <s v="13236"/>
    <n v="57.75"/>
    <s v="C78"/>
    <x v="2"/>
    <s v="NO"/>
    <x v="1"/>
    <x v="0"/>
  </r>
  <r>
    <n v="927"/>
    <x v="0"/>
    <x v="0"/>
    <s v="Katavelas, Mr. Vassilios (Catavelas Vassilios&quot;)&quot;"/>
    <x v="0"/>
    <x v="2"/>
    <n v="18.5"/>
    <n v="0"/>
    <n v="0"/>
    <s v="2682"/>
    <n v="7.2291999999999996"/>
    <m/>
    <x v="2"/>
    <s v="NO"/>
    <x v="0"/>
    <x v="0"/>
  </r>
  <r>
    <n v="928"/>
    <x v="1"/>
    <x v="0"/>
    <s v="Roth, Miss. Sarah A"/>
    <x v="1"/>
    <x v="0"/>
    <n v="30.2"/>
    <n v="0"/>
    <n v="0"/>
    <s v="342712"/>
    <n v="8.0500000000000007"/>
    <m/>
    <x v="1"/>
    <s v="NO"/>
    <x v="0"/>
    <x v="0"/>
  </r>
  <r>
    <n v="929"/>
    <x v="1"/>
    <x v="0"/>
    <s v="Cacic, Miss. Manda"/>
    <x v="1"/>
    <x v="2"/>
    <n v="21"/>
    <n v="0"/>
    <n v="0"/>
    <s v="315087"/>
    <n v="8.6624999999999996"/>
    <m/>
    <x v="1"/>
    <s v="NO"/>
    <x v="0"/>
    <x v="0"/>
  </r>
  <r>
    <n v="930"/>
    <x v="0"/>
    <x v="0"/>
    <s v="Sap, Mr. Julius"/>
    <x v="0"/>
    <x v="2"/>
    <n v="25"/>
    <n v="0"/>
    <n v="0"/>
    <s v="345768"/>
    <n v="9.5"/>
    <m/>
    <x v="1"/>
    <s v="NO"/>
    <x v="0"/>
    <x v="0"/>
  </r>
  <r>
    <n v="931"/>
    <x v="0"/>
    <x v="0"/>
    <s v="Hee, Mr. Ling"/>
    <x v="0"/>
    <x v="0"/>
    <n v="30.2"/>
    <n v="0"/>
    <n v="0"/>
    <s v="1601"/>
    <n v="56.495800000000003"/>
    <m/>
    <x v="1"/>
    <s v="NO"/>
    <x v="0"/>
    <x v="0"/>
  </r>
  <r>
    <n v="932"/>
    <x v="0"/>
    <x v="0"/>
    <s v="Karun, Mr. Franz"/>
    <x v="0"/>
    <x v="0"/>
    <n v="39"/>
    <n v="0"/>
    <n v="1"/>
    <s v="349256"/>
    <n v="13.416700000000001"/>
    <m/>
    <x v="2"/>
    <s v="NO"/>
    <x v="0"/>
    <x v="1"/>
  </r>
  <r>
    <n v="933"/>
    <x v="0"/>
    <x v="2"/>
    <s v="Franklin, Mr. Thomas Parham"/>
    <x v="0"/>
    <x v="0"/>
    <n v="30.2"/>
    <n v="0"/>
    <n v="0"/>
    <s v="113778"/>
    <n v="26.55"/>
    <s v="D34"/>
    <x v="1"/>
    <s v="NO"/>
    <x v="0"/>
    <x v="0"/>
  </r>
  <r>
    <n v="934"/>
    <x v="0"/>
    <x v="0"/>
    <s v="Goldsmith, Mr. Nathan"/>
    <x v="0"/>
    <x v="0"/>
    <n v="41"/>
    <n v="0"/>
    <n v="0"/>
    <s v="Soton/O.Q. 3101263"/>
    <n v="7.85"/>
    <m/>
    <x v="1"/>
    <s v="NO"/>
    <x v="0"/>
    <x v="0"/>
  </r>
  <r>
    <n v="935"/>
    <x v="1"/>
    <x v="1"/>
    <s v="Corbett, Mrs. Walter H (Irene Colvin)"/>
    <x v="1"/>
    <x v="0"/>
    <n v="30"/>
    <n v="0"/>
    <n v="0"/>
    <s v="237249"/>
    <n v="13"/>
    <m/>
    <x v="1"/>
    <s v="NO"/>
    <x v="0"/>
    <x v="0"/>
  </r>
  <r>
    <n v="936"/>
    <x v="1"/>
    <x v="2"/>
    <s v="Kimball, Mrs. Edwin Nelson Jr (Gertrude Parsons)"/>
    <x v="1"/>
    <x v="0"/>
    <n v="45"/>
    <n v="1"/>
    <n v="0"/>
    <s v="11753"/>
    <n v="52.554200000000002"/>
    <s v="D19"/>
    <x v="1"/>
    <s v="NO"/>
    <x v="1"/>
    <x v="0"/>
  </r>
  <r>
    <n v="937"/>
    <x v="0"/>
    <x v="0"/>
    <s v="Peltomaki, Mr. Nikolai Johannes"/>
    <x v="0"/>
    <x v="2"/>
    <n v="25"/>
    <n v="0"/>
    <n v="0"/>
    <s v="Ston/O 2. 3101291"/>
    <n v="7.9249999999999998"/>
    <m/>
    <x v="1"/>
    <s v="NO"/>
    <x v="0"/>
    <x v="0"/>
  </r>
  <r>
    <n v="938"/>
    <x v="0"/>
    <x v="2"/>
    <s v="Chevre, Mr. Paul Romaine"/>
    <x v="0"/>
    <x v="0"/>
    <n v="45"/>
    <n v="0"/>
    <n v="0"/>
    <s v="Pc 17594"/>
    <n v="29.7"/>
    <s v="A9"/>
    <x v="2"/>
    <s v="NO"/>
    <x v="0"/>
    <x v="0"/>
  </r>
  <r>
    <n v="939"/>
    <x v="0"/>
    <x v="0"/>
    <s v="Shaughnessy, Mr. Patrick"/>
    <x v="0"/>
    <x v="0"/>
    <n v="30.2"/>
    <n v="0"/>
    <n v="0"/>
    <s v="370374"/>
    <n v="7.75"/>
    <m/>
    <x v="0"/>
    <s v="NO"/>
    <x v="0"/>
    <x v="0"/>
  </r>
  <r>
    <n v="940"/>
    <x v="1"/>
    <x v="2"/>
    <s v="Bucknell, Mrs. William Robert (Emma Eliza Ward)"/>
    <x v="1"/>
    <x v="1"/>
    <n v="60"/>
    <n v="0"/>
    <n v="0"/>
    <s v="11813"/>
    <n v="76.291700000000006"/>
    <s v="D15"/>
    <x v="2"/>
    <s v="NO"/>
    <x v="0"/>
    <x v="0"/>
  </r>
  <r>
    <n v="941"/>
    <x v="1"/>
    <x v="0"/>
    <s v="Coutts, Mrs. William (Winnie Minnie&quot; Treanor)&quot;"/>
    <x v="1"/>
    <x v="0"/>
    <n v="36"/>
    <n v="0"/>
    <n v="2"/>
    <s v="C.A. 37671"/>
    <n v="15.9"/>
    <m/>
    <x v="1"/>
    <s v="NO"/>
    <x v="0"/>
    <x v="1"/>
  </r>
  <r>
    <n v="942"/>
    <x v="0"/>
    <x v="2"/>
    <s v="Smith, Mr. Lucien Philip"/>
    <x v="0"/>
    <x v="2"/>
    <n v="24"/>
    <n v="1"/>
    <n v="0"/>
    <s v="13695"/>
    <n v="60"/>
    <s v="C31"/>
    <x v="1"/>
    <s v="NO"/>
    <x v="1"/>
    <x v="0"/>
  </r>
  <r>
    <n v="943"/>
    <x v="0"/>
    <x v="1"/>
    <s v="Pulbaum, Mr. Franz"/>
    <x v="0"/>
    <x v="2"/>
    <n v="27"/>
    <n v="0"/>
    <n v="0"/>
    <s v="Sc/Paris 2168"/>
    <n v="15.033300000000001"/>
    <m/>
    <x v="2"/>
    <s v="NO"/>
    <x v="0"/>
    <x v="0"/>
  </r>
  <r>
    <n v="944"/>
    <x v="1"/>
    <x v="1"/>
    <s v="Hocking, Miss. Ellen Nellie&quot;&quot;"/>
    <x v="1"/>
    <x v="2"/>
    <n v="20"/>
    <n v="2"/>
    <n v="1"/>
    <s v="29105"/>
    <n v="23"/>
    <m/>
    <x v="1"/>
    <s v="NO"/>
    <x v="1"/>
    <x v="1"/>
  </r>
  <r>
    <n v="945"/>
    <x v="1"/>
    <x v="2"/>
    <s v="Fortune, Miss. Ethel Flora"/>
    <x v="1"/>
    <x v="2"/>
    <n v="28"/>
    <n v="3"/>
    <n v="2"/>
    <s v="19950"/>
    <n v="263"/>
    <s v="C23 C25 C27"/>
    <x v="1"/>
    <s v="NO"/>
    <x v="1"/>
    <x v="1"/>
  </r>
  <r>
    <n v="946"/>
    <x v="0"/>
    <x v="1"/>
    <s v="Mangiavacchi, Mr. Serafino Emilio"/>
    <x v="0"/>
    <x v="0"/>
    <n v="30.2"/>
    <n v="0"/>
    <n v="0"/>
    <s v="Sc/A.3 2861"/>
    <n v="15.5792"/>
    <m/>
    <x v="2"/>
    <s v="NO"/>
    <x v="0"/>
    <x v="0"/>
  </r>
  <r>
    <n v="947"/>
    <x v="0"/>
    <x v="0"/>
    <s v="Rice, Master. Albert"/>
    <x v="0"/>
    <x v="3"/>
    <n v="10"/>
    <n v="4"/>
    <n v="1"/>
    <s v="382652"/>
    <n v="29.125"/>
    <m/>
    <x v="0"/>
    <s v="YES"/>
    <x v="1"/>
    <x v="1"/>
  </r>
  <r>
    <n v="948"/>
    <x v="0"/>
    <x v="0"/>
    <s v="Cor, Mr. Bartol"/>
    <x v="0"/>
    <x v="0"/>
    <n v="35"/>
    <n v="0"/>
    <n v="0"/>
    <s v="349230"/>
    <n v="7.8958000000000004"/>
    <m/>
    <x v="1"/>
    <s v="NO"/>
    <x v="0"/>
    <x v="0"/>
  </r>
  <r>
    <n v="949"/>
    <x v="0"/>
    <x v="0"/>
    <s v="Abelseth, Mr. Olaus Jorgensen"/>
    <x v="0"/>
    <x v="2"/>
    <n v="25"/>
    <n v="0"/>
    <n v="0"/>
    <s v="348122"/>
    <n v="7.65"/>
    <s v="F G63"/>
    <x v="1"/>
    <s v="NO"/>
    <x v="0"/>
    <x v="0"/>
  </r>
  <r>
    <n v="950"/>
    <x v="0"/>
    <x v="0"/>
    <s v="Davison, Mr. Thomas Henry"/>
    <x v="0"/>
    <x v="0"/>
    <n v="30.2"/>
    <n v="1"/>
    <n v="0"/>
    <s v="386525"/>
    <n v="16.100000000000001"/>
    <m/>
    <x v="1"/>
    <s v="NO"/>
    <x v="1"/>
    <x v="0"/>
  </r>
  <r>
    <n v="951"/>
    <x v="1"/>
    <x v="2"/>
    <s v="Chaudanson, Miss. Victorine"/>
    <x v="1"/>
    <x v="0"/>
    <n v="36"/>
    <n v="0"/>
    <n v="0"/>
    <s v="Pc 17608"/>
    <n v="262.375"/>
    <s v="B61"/>
    <x v="2"/>
    <s v="NO"/>
    <x v="0"/>
    <x v="0"/>
  </r>
  <r>
    <n v="952"/>
    <x v="0"/>
    <x v="0"/>
    <s v="Dika, Mr. Mirko"/>
    <x v="0"/>
    <x v="3"/>
    <n v="17"/>
    <n v="0"/>
    <n v="0"/>
    <s v="349232"/>
    <n v="7.8958000000000004"/>
    <m/>
    <x v="1"/>
    <s v="YES"/>
    <x v="0"/>
    <x v="0"/>
  </r>
  <r>
    <n v="953"/>
    <x v="0"/>
    <x v="1"/>
    <s v="McCrae, Mr. Arthur Gordon"/>
    <x v="0"/>
    <x v="0"/>
    <n v="32"/>
    <n v="0"/>
    <n v="0"/>
    <s v="237216"/>
    <n v="13.5"/>
    <m/>
    <x v="1"/>
    <s v="NO"/>
    <x v="0"/>
    <x v="0"/>
  </r>
  <r>
    <n v="954"/>
    <x v="0"/>
    <x v="0"/>
    <s v="Bjorklund, Mr. Ernst Herbert"/>
    <x v="0"/>
    <x v="2"/>
    <n v="18"/>
    <n v="0"/>
    <n v="0"/>
    <s v="347090"/>
    <n v="7.75"/>
    <m/>
    <x v="1"/>
    <s v="NO"/>
    <x v="0"/>
    <x v="0"/>
  </r>
  <r>
    <n v="955"/>
    <x v="1"/>
    <x v="0"/>
    <s v="Bradley, Miss. Bridget Delia"/>
    <x v="1"/>
    <x v="2"/>
    <n v="22"/>
    <n v="0"/>
    <n v="0"/>
    <s v="334914"/>
    <n v="7.7249999999999996"/>
    <m/>
    <x v="0"/>
    <s v="NO"/>
    <x v="0"/>
    <x v="0"/>
  </r>
  <r>
    <n v="956"/>
    <x v="0"/>
    <x v="2"/>
    <s v="Ryerson, Master. John Borie"/>
    <x v="0"/>
    <x v="3"/>
    <n v="13"/>
    <n v="2"/>
    <n v="2"/>
    <s v="Pc 17608"/>
    <n v="262.375"/>
    <s v="B57 B59 B63 B66"/>
    <x v="2"/>
    <s v="YES"/>
    <x v="1"/>
    <x v="1"/>
  </r>
  <r>
    <n v="957"/>
    <x v="1"/>
    <x v="1"/>
    <s v="Corey, Mrs. Percy C (Mary Phyllis Elizabeth Miller)"/>
    <x v="1"/>
    <x v="0"/>
    <n v="30.2"/>
    <n v="0"/>
    <n v="0"/>
    <s v="F.C.C. 13534"/>
    <n v="21"/>
    <m/>
    <x v="1"/>
    <s v="NO"/>
    <x v="0"/>
    <x v="0"/>
  </r>
  <r>
    <n v="958"/>
    <x v="1"/>
    <x v="0"/>
    <s v="Burns, Miss. Mary Delia"/>
    <x v="1"/>
    <x v="2"/>
    <n v="18"/>
    <n v="0"/>
    <n v="0"/>
    <s v="330963"/>
    <n v="7.8792"/>
    <m/>
    <x v="0"/>
    <s v="NO"/>
    <x v="0"/>
    <x v="0"/>
  </r>
  <r>
    <n v="959"/>
    <x v="0"/>
    <x v="2"/>
    <s v="Moore, Mr. Clarence Bloomfield"/>
    <x v="0"/>
    <x v="0"/>
    <n v="47"/>
    <n v="0"/>
    <n v="0"/>
    <s v="113796"/>
    <n v="42.4"/>
    <m/>
    <x v="1"/>
    <s v="NO"/>
    <x v="0"/>
    <x v="0"/>
  </r>
  <r>
    <n v="960"/>
    <x v="0"/>
    <x v="2"/>
    <s v="Tucker, Mr. Gilbert Milligan Jr"/>
    <x v="0"/>
    <x v="0"/>
    <n v="31"/>
    <n v="0"/>
    <n v="0"/>
    <s v="2543"/>
    <n v="28.537500000000001"/>
    <s v="C53"/>
    <x v="2"/>
    <s v="NO"/>
    <x v="0"/>
    <x v="0"/>
  </r>
  <r>
    <n v="961"/>
    <x v="1"/>
    <x v="2"/>
    <s v="Fortune, Mrs. Mark (Mary McDougald)"/>
    <x v="1"/>
    <x v="1"/>
    <n v="60"/>
    <n v="1"/>
    <n v="4"/>
    <s v="19950"/>
    <n v="263"/>
    <s v="C23 C25 C27"/>
    <x v="1"/>
    <s v="NO"/>
    <x v="1"/>
    <x v="1"/>
  </r>
  <r>
    <n v="962"/>
    <x v="1"/>
    <x v="0"/>
    <s v="Mulvihill, Miss. Bertha E"/>
    <x v="1"/>
    <x v="2"/>
    <n v="24"/>
    <n v="0"/>
    <n v="0"/>
    <s v="382653"/>
    <n v="7.75"/>
    <m/>
    <x v="0"/>
    <s v="NO"/>
    <x v="0"/>
    <x v="0"/>
  </r>
  <r>
    <n v="963"/>
    <x v="0"/>
    <x v="0"/>
    <s v="Minkoff, Mr. Lazar"/>
    <x v="0"/>
    <x v="2"/>
    <n v="21"/>
    <n v="0"/>
    <n v="0"/>
    <s v="349211"/>
    <n v="7.8958000000000004"/>
    <m/>
    <x v="1"/>
    <s v="NO"/>
    <x v="0"/>
    <x v="0"/>
  </r>
  <r>
    <n v="964"/>
    <x v="1"/>
    <x v="0"/>
    <s v="Nieminen, Miss. Manta Josefina"/>
    <x v="1"/>
    <x v="2"/>
    <n v="29"/>
    <n v="0"/>
    <n v="0"/>
    <s v="3101297"/>
    <n v="7.9249999999999998"/>
    <m/>
    <x v="1"/>
    <s v="NO"/>
    <x v="0"/>
    <x v="0"/>
  </r>
  <r>
    <n v="965"/>
    <x v="0"/>
    <x v="2"/>
    <s v="Ovies y Rodriguez, Mr. Servando"/>
    <x v="0"/>
    <x v="2"/>
    <n v="28.5"/>
    <n v="0"/>
    <n v="0"/>
    <s v="Pc 17562"/>
    <n v="27.720800000000001"/>
    <s v="D43"/>
    <x v="2"/>
    <s v="NO"/>
    <x v="0"/>
    <x v="0"/>
  </r>
  <r>
    <n v="966"/>
    <x v="1"/>
    <x v="2"/>
    <s v="Geiger, Miss. Amalie"/>
    <x v="1"/>
    <x v="0"/>
    <n v="35"/>
    <n v="0"/>
    <n v="0"/>
    <s v="113503"/>
    <n v="211.5"/>
    <s v="C130"/>
    <x v="2"/>
    <s v="NO"/>
    <x v="0"/>
    <x v="0"/>
  </r>
  <r>
    <n v="967"/>
    <x v="0"/>
    <x v="2"/>
    <s v="Keeping, Mr. Edwin"/>
    <x v="0"/>
    <x v="0"/>
    <n v="32.5"/>
    <n v="0"/>
    <n v="0"/>
    <s v="113503"/>
    <n v="211.5"/>
    <s v="C132"/>
    <x v="2"/>
    <s v="NO"/>
    <x v="0"/>
    <x v="0"/>
  </r>
  <r>
    <n v="968"/>
    <x v="0"/>
    <x v="0"/>
    <s v="Miles, Mr. Frank"/>
    <x v="0"/>
    <x v="0"/>
    <n v="30.2"/>
    <n v="0"/>
    <n v="0"/>
    <s v="359306"/>
    <n v="8.0500000000000007"/>
    <m/>
    <x v="1"/>
    <s v="NO"/>
    <x v="0"/>
    <x v="0"/>
  </r>
  <r>
    <n v="969"/>
    <x v="1"/>
    <x v="2"/>
    <s v="Cornell, Mrs. Robert Clifford (Malvina Helen Lamson)"/>
    <x v="1"/>
    <x v="0"/>
    <n v="55"/>
    <n v="2"/>
    <n v="0"/>
    <s v="11770"/>
    <n v="25.7"/>
    <s v="C101"/>
    <x v="1"/>
    <s v="NO"/>
    <x v="1"/>
    <x v="0"/>
  </r>
  <r>
    <n v="970"/>
    <x v="0"/>
    <x v="1"/>
    <s v="Aldworth, Mr. Charles Augustus"/>
    <x v="0"/>
    <x v="0"/>
    <n v="30"/>
    <n v="0"/>
    <n v="0"/>
    <s v="248744"/>
    <n v="13"/>
    <m/>
    <x v="1"/>
    <s v="NO"/>
    <x v="0"/>
    <x v="0"/>
  </r>
  <r>
    <n v="971"/>
    <x v="1"/>
    <x v="0"/>
    <s v="Doyle, Miss. Elizabeth"/>
    <x v="1"/>
    <x v="2"/>
    <n v="24"/>
    <n v="0"/>
    <n v="0"/>
    <s v="368702"/>
    <n v="7.75"/>
    <m/>
    <x v="0"/>
    <s v="NO"/>
    <x v="0"/>
    <x v="0"/>
  </r>
  <r>
    <n v="972"/>
    <x v="0"/>
    <x v="0"/>
    <s v="Boulos, Master. Akar"/>
    <x v="0"/>
    <x v="3"/>
    <n v="6"/>
    <n v="1"/>
    <n v="1"/>
    <s v="2678"/>
    <n v="15.245799999999999"/>
    <m/>
    <x v="2"/>
    <s v="YES"/>
    <x v="1"/>
    <x v="1"/>
  </r>
  <r>
    <n v="973"/>
    <x v="0"/>
    <x v="2"/>
    <s v="Straus, Mr. Isidor"/>
    <x v="0"/>
    <x v="1"/>
    <n v="67"/>
    <n v="1"/>
    <n v="0"/>
    <s v="Pc 17483"/>
    <n v="221.7792"/>
    <s v="C55 C57"/>
    <x v="1"/>
    <s v="NO"/>
    <x v="1"/>
    <x v="0"/>
  </r>
  <r>
    <n v="974"/>
    <x v="0"/>
    <x v="2"/>
    <s v="Case, Mr. Howard Brown"/>
    <x v="0"/>
    <x v="0"/>
    <n v="49"/>
    <n v="0"/>
    <n v="0"/>
    <s v="19924"/>
    <n v="26"/>
    <m/>
    <x v="1"/>
    <s v="NO"/>
    <x v="0"/>
    <x v="0"/>
  </r>
  <r>
    <n v="975"/>
    <x v="0"/>
    <x v="0"/>
    <s v="Demetri, Mr. Marinko"/>
    <x v="0"/>
    <x v="0"/>
    <n v="30.2"/>
    <n v="0"/>
    <n v="0"/>
    <s v="349238"/>
    <n v="7.8958000000000004"/>
    <m/>
    <x v="1"/>
    <s v="NO"/>
    <x v="0"/>
    <x v="0"/>
  </r>
  <r>
    <n v="976"/>
    <x v="0"/>
    <x v="1"/>
    <s v="Lamb, Mr. John Joseph"/>
    <x v="0"/>
    <x v="0"/>
    <n v="30.2"/>
    <n v="0"/>
    <n v="0"/>
    <s v="240261"/>
    <n v="10.708299999999999"/>
    <m/>
    <x v="0"/>
    <s v="NO"/>
    <x v="0"/>
    <x v="0"/>
  </r>
  <r>
    <n v="977"/>
    <x v="0"/>
    <x v="0"/>
    <s v="Khalil, Mr. Betros"/>
    <x v="0"/>
    <x v="0"/>
    <n v="30.2"/>
    <n v="1"/>
    <n v="0"/>
    <s v="2660"/>
    <n v="14.4542"/>
    <m/>
    <x v="2"/>
    <s v="NO"/>
    <x v="1"/>
    <x v="0"/>
  </r>
  <r>
    <n v="978"/>
    <x v="1"/>
    <x v="0"/>
    <s v="Barry, Miss. Julia"/>
    <x v="1"/>
    <x v="2"/>
    <n v="27"/>
    <n v="0"/>
    <n v="0"/>
    <s v="330844"/>
    <n v="7.8792"/>
    <m/>
    <x v="0"/>
    <s v="NO"/>
    <x v="0"/>
    <x v="0"/>
  </r>
  <r>
    <n v="979"/>
    <x v="1"/>
    <x v="0"/>
    <s v="Badman, Miss. Emily Louisa"/>
    <x v="1"/>
    <x v="2"/>
    <n v="18"/>
    <n v="0"/>
    <n v="0"/>
    <s v="A/4 31416"/>
    <n v="8.0500000000000007"/>
    <m/>
    <x v="1"/>
    <s v="NO"/>
    <x v="0"/>
    <x v="0"/>
  </r>
  <r>
    <n v="980"/>
    <x v="1"/>
    <x v="0"/>
    <s v="O'Donoghue, Ms. Bridget"/>
    <x v="1"/>
    <x v="0"/>
    <n v="30.2"/>
    <n v="0"/>
    <n v="0"/>
    <s v="364856"/>
    <n v="7.75"/>
    <m/>
    <x v="0"/>
    <s v="NO"/>
    <x v="0"/>
    <x v="0"/>
  </r>
  <r>
    <n v="981"/>
    <x v="0"/>
    <x v="1"/>
    <s v="Wells, Master. Ralph Lester"/>
    <x v="0"/>
    <x v="3"/>
    <n v="2"/>
    <n v="1"/>
    <n v="1"/>
    <s v="29103"/>
    <n v="23"/>
    <m/>
    <x v="1"/>
    <s v="YES"/>
    <x v="1"/>
    <x v="1"/>
  </r>
  <r>
    <n v="982"/>
    <x v="1"/>
    <x v="0"/>
    <s v="Dyker, Mrs. Adolf Fredrik (Anna Elisabeth Judith Andersson)"/>
    <x v="1"/>
    <x v="2"/>
    <n v="22"/>
    <n v="1"/>
    <n v="0"/>
    <s v="347072"/>
    <n v="13.9"/>
    <m/>
    <x v="1"/>
    <s v="NO"/>
    <x v="1"/>
    <x v="0"/>
  </r>
  <r>
    <n v="983"/>
    <x v="0"/>
    <x v="0"/>
    <s v="Pedersen, Mr. Olaf"/>
    <x v="0"/>
    <x v="0"/>
    <n v="30.2"/>
    <n v="0"/>
    <n v="0"/>
    <s v="345498"/>
    <n v="7.7750000000000004"/>
    <m/>
    <x v="1"/>
    <s v="NO"/>
    <x v="0"/>
    <x v="0"/>
  </r>
  <r>
    <n v="984"/>
    <x v="1"/>
    <x v="2"/>
    <s v="Davidson, Mrs. Thornton (Orian Hays)"/>
    <x v="1"/>
    <x v="2"/>
    <n v="27"/>
    <n v="1"/>
    <n v="2"/>
    <s v="F.C. 12750"/>
    <n v="52"/>
    <s v="B71"/>
    <x v="1"/>
    <s v="NO"/>
    <x v="1"/>
    <x v="1"/>
  </r>
  <r>
    <n v="985"/>
    <x v="0"/>
    <x v="0"/>
    <s v="Guest, Mr. Robert"/>
    <x v="0"/>
    <x v="0"/>
    <n v="30.2"/>
    <n v="0"/>
    <n v="0"/>
    <s v="376563"/>
    <n v="8.0500000000000007"/>
    <m/>
    <x v="1"/>
    <s v="NO"/>
    <x v="0"/>
    <x v="0"/>
  </r>
  <r>
    <n v="986"/>
    <x v="0"/>
    <x v="2"/>
    <s v="Birnbaum, Mr. Jakob"/>
    <x v="0"/>
    <x v="2"/>
    <n v="25"/>
    <n v="0"/>
    <n v="0"/>
    <s v="13905"/>
    <n v="26"/>
    <m/>
    <x v="2"/>
    <s v="NO"/>
    <x v="0"/>
    <x v="0"/>
  </r>
  <r>
    <n v="987"/>
    <x v="0"/>
    <x v="0"/>
    <s v="Tenglin, Mr. Gunnar Isidor"/>
    <x v="0"/>
    <x v="2"/>
    <n v="25"/>
    <n v="0"/>
    <n v="0"/>
    <s v="350033"/>
    <n v="7.7957999999999998"/>
    <m/>
    <x v="1"/>
    <s v="NO"/>
    <x v="0"/>
    <x v="0"/>
  </r>
  <r>
    <n v="988"/>
    <x v="1"/>
    <x v="2"/>
    <s v="Cavendish, Mrs. Tyrell William (Julia Florence Siegel)"/>
    <x v="1"/>
    <x v="1"/>
    <n v="76"/>
    <n v="1"/>
    <n v="0"/>
    <s v="19877"/>
    <n v="78.849999999999994"/>
    <s v="C46"/>
    <x v="1"/>
    <s v="NO"/>
    <x v="1"/>
    <x v="0"/>
  </r>
  <r>
    <n v="989"/>
    <x v="0"/>
    <x v="0"/>
    <s v="Makinen, Mr. Kalle Edvard"/>
    <x v="0"/>
    <x v="2"/>
    <n v="29"/>
    <n v="0"/>
    <n v="0"/>
    <s v="Ston/O 2. 3101268"/>
    <n v="7.9249999999999998"/>
    <m/>
    <x v="1"/>
    <s v="NO"/>
    <x v="0"/>
    <x v="0"/>
  </r>
  <r>
    <n v="990"/>
    <x v="1"/>
    <x v="0"/>
    <s v="Braf, Miss. Elin Ester Maria"/>
    <x v="1"/>
    <x v="2"/>
    <n v="20"/>
    <n v="0"/>
    <n v="0"/>
    <s v="347471"/>
    <n v="7.8541999999999996"/>
    <m/>
    <x v="1"/>
    <s v="NO"/>
    <x v="0"/>
    <x v="0"/>
  </r>
  <r>
    <n v="991"/>
    <x v="0"/>
    <x v="0"/>
    <s v="Nancarrow, Mr. William Henry"/>
    <x v="0"/>
    <x v="0"/>
    <n v="33"/>
    <n v="0"/>
    <n v="0"/>
    <s v="A./5. 3338"/>
    <n v="8.0500000000000007"/>
    <m/>
    <x v="1"/>
    <s v="NO"/>
    <x v="0"/>
    <x v="0"/>
  </r>
  <r>
    <n v="992"/>
    <x v="1"/>
    <x v="2"/>
    <s v="Stengel, Mrs. Charles Emil Henry (Annie May Morris)"/>
    <x v="1"/>
    <x v="0"/>
    <n v="43"/>
    <n v="1"/>
    <n v="0"/>
    <s v="11778"/>
    <n v="55.441699999999997"/>
    <s v="C116"/>
    <x v="2"/>
    <s v="NO"/>
    <x v="1"/>
    <x v="0"/>
  </r>
  <r>
    <n v="993"/>
    <x v="0"/>
    <x v="1"/>
    <s v="Weisz, Mr. Leopold"/>
    <x v="0"/>
    <x v="2"/>
    <n v="27"/>
    <n v="1"/>
    <n v="0"/>
    <s v="228414"/>
    <n v="26"/>
    <m/>
    <x v="1"/>
    <s v="NO"/>
    <x v="1"/>
    <x v="0"/>
  </r>
  <r>
    <n v="994"/>
    <x v="0"/>
    <x v="0"/>
    <s v="Foley, Mr. William"/>
    <x v="0"/>
    <x v="0"/>
    <n v="30.2"/>
    <n v="0"/>
    <n v="0"/>
    <s v="365235"/>
    <n v="7.75"/>
    <m/>
    <x v="0"/>
    <s v="NO"/>
    <x v="0"/>
    <x v="0"/>
  </r>
  <r>
    <n v="995"/>
    <x v="0"/>
    <x v="0"/>
    <s v="Johansson Palmquist, Mr. Oskar Leander"/>
    <x v="0"/>
    <x v="2"/>
    <n v="26"/>
    <n v="0"/>
    <n v="0"/>
    <s v="347070"/>
    <n v="7.7750000000000004"/>
    <m/>
    <x v="1"/>
    <s v="NO"/>
    <x v="0"/>
    <x v="0"/>
  </r>
  <r>
    <n v="996"/>
    <x v="1"/>
    <x v="0"/>
    <s v="Thomas, Mrs. Alexander (Thamine Thelma&quot;)&quot;"/>
    <x v="1"/>
    <x v="3"/>
    <n v="16"/>
    <n v="1"/>
    <n v="1"/>
    <s v="2625"/>
    <n v="8.5167000000000002"/>
    <m/>
    <x v="2"/>
    <s v="YES"/>
    <x v="1"/>
    <x v="1"/>
  </r>
  <r>
    <n v="997"/>
    <x v="0"/>
    <x v="0"/>
    <s v="Holthen, Mr. Johan Martin"/>
    <x v="0"/>
    <x v="2"/>
    <n v="28"/>
    <n v="0"/>
    <n v="0"/>
    <s v="C 4001"/>
    <n v="22.524999999999999"/>
    <m/>
    <x v="1"/>
    <s v="NO"/>
    <x v="0"/>
    <x v="0"/>
  </r>
  <r>
    <n v="998"/>
    <x v="0"/>
    <x v="0"/>
    <s v="Buckley, Mr. Daniel"/>
    <x v="0"/>
    <x v="2"/>
    <n v="21"/>
    <n v="0"/>
    <n v="0"/>
    <s v="330920"/>
    <n v="7.8208000000000002"/>
    <m/>
    <x v="0"/>
    <s v="NO"/>
    <x v="0"/>
    <x v="0"/>
  </r>
  <r>
    <n v="999"/>
    <x v="0"/>
    <x v="0"/>
    <s v="Ryan, Mr. Edward"/>
    <x v="0"/>
    <x v="0"/>
    <n v="30.2"/>
    <n v="0"/>
    <n v="0"/>
    <s v="383162"/>
    <n v="7.75"/>
    <m/>
    <x v="0"/>
    <s v="NO"/>
    <x v="0"/>
    <x v="0"/>
  </r>
  <r>
    <n v="1000"/>
    <x v="0"/>
    <x v="0"/>
    <s v="Willer, Mr. Aaron (Abi Weller&quot;)&quot;"/>
    <x v="0"/>
    <x v="0"/>
    <n v="30.2"/>
    <n v="0"/>
    <n v="0"/>
    <s v="3410"/>
    <n v="8.7125000000000004"/>
    <m/>
    <x v="1"/>
    <s v="NO"/>
    <x v="0"/>
    <x v="0"/>
  </r>
  <r>
    <n v="1001"/>
    <x v="0"/>
    <x v="1"/>
    <s v="Swane, Mr. George"/>
    <x v="0"/>
    <x v="2"/>
    <n v="18.5"/>
    <n v="0"/>
    <n v="0"/>
    <s v="248734"/>
    <n v="13"/>
    <s v="F"/>
    <x v="1"/>
    <s v="NO"/>
    <x v="0"/>
    <x v="0"/>
  </r>
  <r>
    <n v="1002"/>
    <x v="0"/>
    <x v="1"/>
    <s v="Stanton, Mr. Samuel Ward"/>
    <x v="0"/>
    <x v="0"/>
    <n v="41"/>
    <n v="0"/>
    <n v="0"/>
    <s v="237734"/>
    <n v="15.0458"/>
    <m/>
    <x v="2"/>
    <s v="NO"/>
    <x v="0"/>
    <x v="0"/>
  </r>
  <r>
    <n v="1003"/>
    <x v="1"/>
    <x v="0"/>
    <s v="Shine, Miss. Ellen Natalia"/>
    <x v="1"/>
    <x v="0"/>
    <n v="30.2"/>
    <n v="0"/>
    <n v="0"/>
    <s v="330968"/>
    <n v="7.7792000000000003"/>
    <m/>
    <x v="0"/>
    <s v="NO"/>
    <x v="0"/>
    <x v="0"/>
  </r>
  <r>
    <n v="1004"/>
    <x v="1"/>
    <x v="2"/>
    <s v="Evans, Miss. Edith Corse"/>
    <x v="1"/>
    <x v="0"/>
    <n v="36"/>
    <n v="0"/>
    <n v="0"/>
    <s v="Pc 17531"/>
    <n v="31.679200000000002"/>
    <s v="A29"/>
    <x v="2"/>
    <s v="NO"/>
    <x v="0"/>
    <x v="0"/>
  </r>
  <r>
    <n v="1005"/>
    <x v="1"/>
    <x v="0"/>
    <s v="Buckley, Miss. Katherine"/>
    <x v="1"/>
    <x v="2"/>
    <n v="18.5"/>
    <n v="0"/>
    <n v="0"/>
    <s v="329944"/>
    <n v="7.2832999999999997"/>
    <m/>
    <x v="0"/>
    <s v="NO"/>
    <x v="0"/>
    <x v="0"/>
  </r>
  <r>
    <n v="1006"/>
    <x v="1"/>
    <x v="2"/>
    <s v="Straus, Mrs. Isidor (Rosalie Ida Blun)"/>
    <x v="1"/>
    <x v="1"/>
    <n v="63"/>
    <n v="1"/>
    <n v="0"/>
    <s v="Pc 17483"/>
    <n v="221.7792"/>
    <s v="C55 C57"/>
    <x v="1"/>
    <s v="NO"/>
    <x v="1"/>
    <x v="0"/>
  </r>
  <r>
    <n v="1007"/>
    <x v="0"/>
    <x v="0"/>
    <s v="Chronopoulos, Mr. Demetrios"/>
    <x v="0"/>
    <x v="2"/>
    <n v="18"/>
    <n v="1"/>
    <n v="0"/>
    <s v="2680"/>
    <n v="14.4542"/>
    <m/>
    <x v="2"/>
    <s v="NO"/>
    <x v="1"/>
    <x v="0"/>
  </r>
  <r>
    <n v="1008"/>
    <x v="0"/>
    <x v="0"/>
    <s v="Thomas, Mr. John"/>
    <x v="0"/>
    <x v="0"/>
    <n v="30.2"/>
    <n v="0"/>
    <n v="0"/>
    <s v="2681"/>
    <n v="6.4375"/>
    <m/>
    <x v="2"/>
    <s v="NO"/>
    <x v="0"/>
    <x v="0"/>
  </r>
  <r>
    <n v="1009"/>
    <x v="1"/>
    <x v="0"/>
    <s v="Sandstrom, Miss. Beatrice Irene"/>
    <x v="1"/>
    <x v="3"/>
    <n v="1"/>
    <n v="1"/>
    <n v="1"/>
    <s v="Pp 9549"/>
    <n v="16.7"/>
    <s v="G6"/>
    <x v="1"/>
    <s v="YES"/>
    <x v="1"/>
    <x v="1"/>
  </r>
  <r>
    <n v="1010"/>
    <x v="0"/>
    <x v="2"/>
    <s v="Beattie, Mr. Thomson"/>
    <x v="0"/>
    <x v="0"/>
    <n v="36"/>
    <n v="0"/>
    <n v="0"/>
    <s v="13050"/>
    <n v="75.241699999999994"/>
    <s v="C6"/>
    <x v="2"/>
    <s v="NO"/>
    <x v="0"/>
    <x v="0"/>
  </r>
  <r>
    <n v="1011"/>
    <x v="1"/>
    <x v="1"/>
    <s v="Chapman, Mrs. John Henry (Sara Elizabeth Lawry)"/>
    <x v="1"/>
    <x v="2"/>
    <n v="29"/>
    <n v="1"/>
    <n v="0"/>
    <s v="Sc/Ah 29037"/>
    <n v="26"/>
    <m/>
    <x v="1"/>
    <s v="NO"/>
    <x v="1"/>
    <x v="0"/>
  </r>
  <r>
    <n v="1012"/>
    <x v="1"/>
    <x v="1"/>
    <s v="Watt, Miss. Bertha J"/>
    <x v="1"/>
    <x v="3"/>
    <n v="12"/>
    <n v="0"/>
    <n v="0"/>
    <s v="C.A. 33595"/>
    <n v="15.75"/>
    <m/>
    <x v="1"/>
    <s v="YES"/>
    <x v="0"/>
    <x v="0"/>
  </r>
  <r>
    <n v="1013"/>
    <x v="0"/>
    <x v="0"/>
    <s v="Kiernan, Mr. John"/>
    <x v="0"/>
    <x v="0"/>
    <n v="30.2"/>
    <n v="1"/>
    <n v="0"/>
    <s v="367227"/>
    <n v="7.75"/>
    <m/>
    <x v="0"/>
    <s v="NO"/>
    <x v="1"/>
    <x v="0"/>
  </r>
  <r>
    <n v="1014"/>
    <x v="1"/>
    <x v="2"/>
    <s v="Schabert, Mrs. Paul (Emma Mock)"/>
    <x v="1"/>
    <x v="0"/>
    <n v="35"/>
    <n v="1"/>
    <n v="0"/>
    <s v="13236"/>
    <n v="57.75"/>
    <s v="C28"/>
    <x v="2"/>
    <s v="NO"/>
    <x v="1"/>
    <x v="0"/>
  </r>
  <r>
    <n v="1015"/>
    <x v="0"/>
    <x v="0"/>
    <s v="Carver, Mr. Alfred John"/>
    <x v="0"/>
    <x v="2"/>
    <n v="28"/>
    <n v="0"/>
    <n v="0"/>
    <s v="392095"/>
    <n v="7.25"/>
    <m/>
    <x v="1"/>
    <s v="NO"/>
    <x v="0"/>
    <x v="0"/>
  </r>
  <r>
    <n v="1016"/>
    <x v="0"/>
    <x v="0"/>
    <s v="Kennedy, Mr. John"/>
    <x v="0"/>
    <x v="0"/>
    <n v="30.2"/>
    <n v="0"/>
    <n v="0"/>
    <s v="368783"/>
    <n v="7.75"/>
    <m/>
    <x v="0"/>
    <s v="NO"/>
    <x v="0"/>
    <x v="0"/>
  </r>
  <r>
    <n v="1017"/>
    <x v="1"/>
    <x v="0"/>
    <s v="Cribb, Miss. Laura Alice"/>
    <x v="1"/>
    <x v="3"/>
    <n v="17"/>
    <n v="0"/>
    <n v="1"/>
    <s v="371362"/>
    <n v="16.100000000000001"/>
    <m/>
    <x v="1"/>
    <s v="YES"/>
    <x v="0"/>
    <x v="1"/>
  </r>
  <r>
    <n v="1018"/>
    <x v="0"/>
    <x v="0"/>
    <s v="Brobeck, Mr. Karl Rudolf"/>
    <x v="0"/>
    <x v="2"/>
    <n v="22"/>
    <n v="0"/>
    <n v="0"/>
    <s v="350045"/>
    <n v="7.7957999999999998"/>
    <m/>
    <x v="1"/>
    <s v="NO"/>
    <x v="0"/>
    <x v="0"/>
  </r>
  <r>
    <n v="1019"/>
    <x v="1"/>
    <x v="0"/>
    <s v="McCoy, Miss. Alicia"/>
    <x v="1"/>
    <x v="0"/>
    <n v="30.2"/>
    <n v="2"/>
    <n v="0"/>
    <s v="367226"/>
    <n v="23.25"/>
    <m/>
    <x v="0"/>
    <s v="NO"/>
    <x v="1"/>
    <x v="0"/>
  </r>
  <r>
    <n v="1020"/>
    <x v="0"/>
    <x v="1"/>
    <s v="Bowenur, Mr. Solomon"/>
    <x v="0"/>
    <x v="0"/>
    <n v="42"/>
    <n v="0"/>
    <n v="0"/>
    <s v="211535"/>
    <n v="13"/>
    <m/>
    <x v="1"/>
    <s v="NO"/>
    <x v="0"/>
    <x v="0"/>
  </r>
  <r>
    <n v="1021"/>
    <x v="0"/>
    <x v="0"/>
    <s v="Petersen, Mr. Marius"/>
    <x v="0"/>
    <x v="2"/>
    <n v="24"/>
    <n v="0"/>
    <n v="0"/>
    <s v="342441"/>
    <n v="8.0500000000000007"/>
    <m/>
    <x v="1"/>
    <s v="NO"/>
    <x v="0"/>
    <x v="0"/>
  </r>
  <r>
    <n v="1022"/>
    <x v="0"/>
    <x v="0"/>
    <s v="Spinner, Mr. Henry John"/>
    <x v="0"/>
    <x v="0"/>
    <n v="32"/>
    <n v="0"/>
    <n v="0"/>
    <s v="Ston/Oq. 369943"/>
    <n v="8.0500000000000007"/>
    <m/>
    <x v="1"/>
    <s v="NO"/>
    <x v="0"/>
    <x v="0"/>
  </r>
  <r>
    <n v="1023"/>
    <x v="0"/>
    <x v="2"/>
    <s v="Gracie, Col. Archibald IV"/>
    <x v="0"/>
    <x v="0"/>
    <n v="53"/>
    <n v="0"/>
    <n v="0"/>
    <s v="113780"/>
    <n v="28.5"/>
    <s v="C51"/>
    <x v="2"/>
    <s v="NO"/>
    <x v="0"/>
    <x v="0"/>
  </r>
  <r>
    <n v="1024"/>
    <x v="1"/>
    <x v="0"/>
    <s v="Lefebre, Mrs. Frank (Frances)"/>
    <x v="1"/>
    <x v="0"/>
    <n v="30.2"/>
    <n v="0"/>
    <n v="4"/>
    <s v="4133"/>
    <n v="25.466699999999999"/>
    <m/>
    <x v="1"/>
    <s v="NO"/>
    <x v="0"/>
    <x v="1"/>
  </r>
  <r>
    <n v="1025"/>
    <x v="0"/>
    <x v="0"/>
    <s v="Thomas, Mr. Charles P"/>
    <x v="0"/>
    <x v="0"/>
    <n v="30.2"/>
    <n v="1"/>
    <n v="0"/>
    <s v="2621"/>
    <n v="6.4375"/>
    <m/>
    <x v="2"/>
    <s v="NO"/>
    <x v="1"/>
    <x v="0"/>
  </r>
  <r>
    <n v="1026"/>
    <x v="0"/>
    <x v="0"/>
    <s v="Dintcheff, Mr. Valtcho"/>
    <x v="0"/>
    <x v="0"/>
    <n v="43"/>
    <n v="0"/>
    <n v="0"/>
    <s v="349226"/>
    <n v="7.8958000000000004"/>
    <m/>
    <x v="1"/>
    <s v="NO"/>
    <x v="0"/>
    <x v="0"/>
  </r>
  <r>
    <n v="1027"/>
    <x v="0"/>
    <x v="0"/>
    <s v="Carlsson, Mr. Carl Robert"/>
    <x v="0"/>
    <x v="2"/>
    <n v="24"/>
    <n v="0"/>
    <n v="0"/>
    <s v="350409"/>
    <n v="7.8541999999999996"/>
    <m/>
    <x v="1"/>
    <s v="NO"/>
    <x v="0"/>
    <x v="0"/>
  </r>
  <r>
    <n v="1028"/>
    <x v="0"/>
    <x v="0"/>
    <s v="Zakarian, Mr. Mapriededer"/>
    <x v="0"/>
    <x v="2"/>
    <n v="26.5"/>
    <n v="0"/>
    <n v="0"/>
    <s v="2656"/>
    <n v="7.2249999999999996"/>
    <m/>
    <x v="2"/>
    <s v="NO"/>
    <x v="0"/>
    <x v="0"/>
  </r>
  <r>
    <n v="1029"/>
    <x v="0"/>
    <x v="1"/>
    <s v="Schmidt, Mr. August"/>
    <x v="0"/>
    <x v="2"/>
    <n v="26"/>
    <n v="0"/>
    <n v="0"/>
    <s v="248659"/>
    <n v="13"/>
    <m/>
    <x v="1"/>
    <s v="NO"/>
    <x v="0"/>
    <x v="0"/>
  </r>
  <r>
    <n v="1030"/>
    <x v="1"/>
    <x v="0"/>
    <s v="Drapkin, Miss. Jennie"/>
    <x v="1"/>
    <x v="2"/>
    <n v="23"/>
    <n v="0"/>
    <n v="0"/>
    <s v="Soton/Oq 392083"/>
    <n v="8.0500000000000007"/>
    <m/>
    <x v="1"/>
    <s v="NO"/>
    <x v="0"/>
    <x v="0"/>
  </r>
  <r>
    <n v="1031"/>
    <x v="0"/>
    <x v="0"/>
    <s v="Goodwin, Mr. Charles Frederick"/>
    <x v="0"/>
    <x v="0"/>
    <n v="40"/>
    <n v="1"/>
    <n v="6"/>
    <s v="Ca 2144"/>
    <n v="46.9"/>
    <m/>
    <x v="1"/>
    <s v="NO"/>
    <x v="1"/>
    <x v="1"/>
  </r>
  <r>
    <n v="1032"/>
    <x v="1"/>
    <x v="0"/>
    <s v="Goodwin, Miss. Jessie Allis"/>
    <x v="1"/>
    <x v="3"/>
    <n v="10"/>
    <n v="5"/>
    <n v="2"/>
    <s v="Ca 2144"/>
    <n v="46.9"/>
    <m/>
    <x v="1"/>
    <s v="YES"/>
    <x v="1"/>
    <x v="1"/>
  </r>
  <r>
    <n v="1033"/>
    <x v="1"/>
    <x v="2"/>
    <s v="Daniels, Miss. Sarah"/>
    <x v="1"/>
    <x v="0"/>
    <n v="33"/>
    <n v="0"/>
    <n v="0"/>
    <s v="113781"/>
    <n v="151.55000000000001"/>
    <m/>
    <x v="1"/>
    <s v="NO"/>
    <x v="0"/>
    <x v="0"/>
  </r>
  <r>
    <n v="1034"/>
    <x v="0"/>
    <x v="2"/>
    <s v="Ryerson, Mr. Arthur Larned"/>
    <x v="0"/>
    <x v="1"/>
    <n v="61"/>
    <n v="1"/>
    <n v="3"/>
    <s v="Pc 17608"/>
    <n v="262.375"/>
    <s v="B57 B59 B63 B66"/>
    <x v="2"/>
    <s v="NO"/>
    <x v="1"/>
    <x v="1"/>
  </r>
  <r>
    <n v="1035"/>
    <x v="0"/>
    <x v="1"/>
    <s v="Beauchamp, Mr. Henry James"/>
    <x v="0"/>
    <x v="2"/>
    <n v="28"/>
    <n v="0"/>
    <n v="0"/>
    <s v="244358"/>
    <n v="26"/>
    <m/>
    <x v="1"/>
    <s v="NO"/>
    <x v="0"/>
    <x v="0"/>
  </r>
  <r>
    <n v="1036"/>
    <x v="0"/>
    <x v="2"/>
    <s v="Lindeberg-Lind, Mr. Erik Gustaf (Mr Edward Lingrey&quot;)&quot;"/>
    <x v="0"/>
    <x v="0"/>
    <n v="42"/>
    <n v="0"/>
    <n v="0"/>
    <s v="17475"/>
    <n v="26.55"/>
    <m/>
    <x v="1"/>
    <s v="NO"/>
    <x v="0"/>
    <x v="0"/>
  </r>
  <r>
    <n v="1037"/>
    <x v="0"/>
    <x v="0"/>
    <s v="Vander Planke, Mr. Julius"/>
    <x v="0"/>
    <x v="0"/>
    <n v="31"/>
    <n v="3"/>
    <n v="0"/>
    <s v="345763"/>
    <n v="18"/>
    <m/>
    <x v="1"/>
    <s v="NO"/>
    <x v="1"/>
    <x v="0"/>
  </r>
  <r>
    <n v="1038"/>
    <x v="0"/>
    <x v="2"/>
    <s v="Hilliard, Mr. Herbert Henry"/>
    <x v="0"/>
    <x v="0"/>
    <n v="30.2"/>
    <n v="0"/>
    <n v="0"/>
    <s v="17463"/>
    <n v="51.862499999999997"/>
    <s v="E46"/>
    <x v="1"/>
    <s v="NO"/>
    <x v="0"/>
    <x v="0"/>
  </r>
  <r>
    <n v="1039"/>
    <x v="0"/>
    <x v="0"/>
    <s v="Davies, Mr. Evan"/>
    <x v="0"/>
    <x v="2"/>
    <n v="22"/>
    <n v="0"/>
    <n v="0"/>
    <s v="Sc/A4 23568"/>
    <n v="8.0500000000000007"/>
    <m/>
    <x v="1"/>
    <s v="NO"/>
    <x v="0"/>
    <x v="0"/>
  </r>
  <r>
    <n v="1040"/>
    <x v="0"/>
    <x v="2"/>
    <s v="Crafton, Mr. John Bertram"/>
    <x v="0"/>
    <x v="0"/>
    <n v="30.2"/>
    <n v="0"/>
    <n v="0"/>
    <s v="113791"/>
    <n v="26.55"/>
    <m/>
    <x v="1"/>
    <s v="NO"/>
    <x v="0"/>
    <x v="0"/>
  </r>
  <r>
    <n v="1041"/>
    <x v="0"/>
    <x v="1"/>
    <s v="Lahtinen, Rev. William"/>
    <x v="0"/>
    <x v="0"/>
    <n v="30"/>
    <n v="1"/>
    <n v="1"/>
    <s v="250651"/>
    <n v="26"/>
    <m/>
    <x v="1"/>
    <s v="NO"/>
    <x v="1"/>
    <x v="1"/>
  </r>
  <r>
    <n v="1042"/>
    <x v="1"/>
    <x v="2"/>
    <s v="Earnshaw, Mrs. Boulton (Olive Potter)"/>
    <x v="1"/>
    <x v="2"/>
    <n v="23"/>
    <n v="0"/>
    <n v="1"/>
    <s v="11767"/>
    <n v="83.158299999999997"/>
    <s v="C54"/>
    <x v="2"/>
    <s v="NO"/>
    <x v="0"/>
    <x v="1"/>
  </r>
  <r>
    <n v="1043"/>
    <x v="0"/>
    <x v="0"/>
    <s v="Matinoff, Mr. Nicola"/>
    <x v="0"/>
    <x v="0"/>
    <n v="30.2"/>
    <n v="0"/>
    <n v="0"/>
    <s v="349255"/>
    <n v="7.8958000000000004"/>
    <m/>
    <x v="2"/>
    <s v="NO"/>
    <x v="0"/>
    <x v="0"/>
  </r>
  <r>
    <n v="1044"/>
    <x v="0"/>
    <x v="0"/>
    <s v="Storey, Mr. Thomas"/>
    <x v="0"/>
    <x v="1"/>
    <n v="60.5"/>
    <n v="0"/>
    <n v="0"/>
    <s v="3701"/>
    <m/>
    <m/>
    <x v="1"/>
    <s v="NO"/>
    <x v="0"/>
    <x v="0"/>
  </r>
  <r>
    <n v="1045"/>
    <x v="1"/>
    <x v="0"/>
    <s v="Klasen, Mrs. (Hulda Kristina Eugenia Lofqvist)"/>
    <x v="1"/>
    <x v="0"/>
    <n v="36"/>
    <n v="0"/>
    <n v="2"/>
    <s v="350405"/>
    <n v="12.183299999999999"/>
    <m/>
    <x v="1"/>
    <s v="NO"/>
    <x v="0"/>
    <x v="1"/>
  </r>
  <r>
    <n v="1046"/>
    <x v="0"/>
    <x v="0"/>
    <s v="Asplund, Master. Filip Oscar"/>
    <x v="0"/>
    <x v="3"/>
    <n v="13"/>
    <n v="4"/>
    <n v="2"/>
    <s v="347077"/>
    <n v="31.387499999999999"/>
    <m/>
    <x v="1"/>
    <s v="YES"/>
    <x v="1"/>
    <x v="1"/>
  </r>
  <r>
    <n v="1047"/>
    <x v="0"/>
    <x v="0"/>
    <s v="Duquemin, Mr. Joseph"/>
    <x v="0"/>
    <x v="2"/>
    <n v="24"/>
    <n v="0"/>
    <n v="0"/>
    <s v="S.O./P.P. 752"/>
    <n v="7.55"/>
    <m/>
    <x v="1"/>
    <s v="NO"/>
    <x v="0"/>
    <x v="0"/>
  </r>
  <r>
    <n v="1048"/>
    <x v="1"/>
    <x v="2"/>
    <s v="Bird, Miss. Ellen"/>
    <x v="1"/>
    <x v="2"/>
    <n v="29"/>
    <n v="0"/>
    <n v="0"/>
    <s v="Pc 17483"/>
    <n v="221.7792"/>
    <s v="C97"/>
    <x v="1"/>
    <s v="NO"/>
    <x v="0"/>
    <x v="0"/>
  </r>
  <r>
    <n v="1049"/>
    <x v="1"/>
    <x v="0"/>
    <s v="Lundin, Miss. Olga Elida"/>
    <x v="1"/>
    <x v="2"/>
    <n v="23"/>
    <n v="0"/>
    <n v="0"/>
    <s v="347469"/>
    <n v="7.8541999999999996"/>
    <m/>
    <x v="1"/>
    <s v="NO"/>
    <x v="0"/>
    <x v="0"/>
  </r>
  <r>
    <n v="1050"/>
    <x v="0"/>
    <x v="2"/>
    <s v="Borebank, Mr. John James"/>
    <x v="0"/>
    <x v="0"/>
    <n v="42"/>
    <n v="0"/>
    <n v="0"/>
    <s v="110489"/>
    <n v="26.55"/>
    <s v="D22"/>
    <x v="1"/>
    <s v="NO"/>
    <x v="0"/>
    <x v="0"/>
  </r>
  <r>
    <n v="1051"/>
    <x v="1"/>
    <x v="0"/>
    <s v="Peacock, Mrs. Benjamin (Edith Nile)"/>
    <x v="1"/>
    <x v="2"/>
    <n v="26"/>
    <n v="0"/>
    <n v="2"/>
    <s v="Soton/O.Q. 3101315"/>
    <n v="13.775"/>
    <m/>
    <x v="1"/>
    <s v="NO"/>
    <x v="0"/>
    <x v="1"/>
  </r>
  <r>
    <n v="1052"/>
    <x v="1"/>
    <x v="0"/>
    <s v="Smyth, Miss. Julia"/>
    <x v="1"/>
    <x v="0"/>
    <n v="30.2"/>
    <n v="0"/>
    <n v="0"/>
    <s v="335432"/>
    <n v="7.7332999999999998"/>
    <m/>
    <x v="0"/>
    <s v="NO"/>
    <x v="0"/>
    <x v="0"/>
  </r>
  <r>
    <n v="1053"/>
    <x v="0"/>
    <x v="0"/>
    <s v="Touma, Master. Georges Youssef"/>
    <x v="0"/>
    <x v="3"/>
    <n v="7"/>
    <n v="1"/>
    <n v="1"/>
    <s v="2650"/>
    <n v="15.245799999999999"/>
    <m/>
    <x v="2"/>
    <s v="YES"/>
    <x v="1"/>
    <x v="1"/>
  </r>
  <r>
    <n v="1054"/>
    <x v="1"/>
    <x v="1"/>
    <s v="Wright, Miss. Marion"/>
    <x v="1"/>
    <x v="2"/>
    <n v="26"/>
    <n v="0"/>
    <n v="0"/>
    <s v="220844"/>
    <n v="13.5"/>
    <m/>
    <x v="1"/>
    <s v="NO"/>
    <x v="0"/>
    <x v="0"/>
  </r>
  <r>
    <n v="1055"/>
    <x v="0"/>
    <x v="0"/>
    <s v="Pearce, Mr. Ernest"/>
    <x v="0"/>
    <x v="0"/>
    <n v="30.2"/>
    <n v="0"/>
    <n v="0"/>
    <s v="343271"/>
    <n v="7"/>
    <m/>
    <x v="1"/>
    <s v="NO"/>
    <x v="0"/>
    <x v="0"/>
  </r>
  <r>
    <n v="1056"/>
    <x v="0"/>
    <x v="1"/>
    <s v="Peruschitz, Rev. Joseph Maria"/>
    <x v="0"/>
    <x v="0"/>
    <n v="41"/>
    <n v="0"/>
    <n v="0"/>
    <s v="237393"/>
    <n v="13"/>
    <m/>
    <x v="1"/>
    <s v="NO"/>
    <x v="0"/>
    <x v="0"/>
  </r>
  <r>
    <n v="1057"/>
    <x v="1"/>
    <x v="0"/>
    <s v="Kink-Heilmann, Mrs. Anton (Luise Heilmann)"/>
    <x v="1"/>
    <x v="2"/>
    <n v="26"/>
    <n v="1"/>
    <n v="1"/>
    <s v="315153"/>
    <n v="22.024999999999999"/>
    <m/>
    <x v="1"/>
    <s v="NO"/>
    <x v="1"/>
    <x v="1"/>
  </r>
  <r>
    <n v="1058"/>
    <x v="0"/>
    <x v="2"/>
    <s v="Brandeis, Mr. Emil"/>
    <x v="0"/>
    <x v="0"/>
    <n v="48"/>
    <n v="0"/>
    <n v="0"/>
    <s v="Pc 17591"/>
    <n v="50.495800000000003"/>
    <s v="B10"/>
    <x v="2"/>
    <s v="NO"/>
    <x v="0"/>
    <x v="0"/>
  </r>
  <r>
    <n v="1059"/>
    <x v="0"/>
    <x v="0"/>
    <s v="Ford, Mr. Edward Watson"/>
    <x v="0"/>
    <x v="2"/>
    <n v="18"/>
    <n v="2"/>
    <n v="2"/>
    <s v="W./C. 6608"/>
    <n v="34.375"/>
    <m/>
    <x v="1"/>
    <s v="NO"/>
    <x v="1"/>
    <x v="1"/>
  </r>
  <r>
    <n v="1060"/>
    <x v="1"/>
    <x v="2"/>
    <s v="Cassebeer, Mrs. Henry Arthur Jr (Eleanor Genevieve Fosdick)"/>
    <x v="1"/>
    <x v="0"/>
    <n v="30.2"/>
    <n v="0"/>
    <n v="0"/>
    <s v="17770"/>
    <n v="27.720800000000001"/>
    <m/>
    <x v="2"/>
    <s v="NO"/>
    <x v="0"/>
    <x v="0"/>
  </r>
  <r>
    <n v="1061"/>
    <x v="1"/>
    <x v="0"/>
    <s v="Hellstrom, Miss. Hilda Maria"/>
    <x v="1"/>
    <x v="2"/>
    <n v="22"/>
    <n v="0"/>
    <n v="0"/>
    <s v="7548"/>
    <n v="8.9625000000000004"/>
    <m/>
    <x v="1"/>
    <s v="NO"/>
    <x v="0"/>
    <x v="0"/>
  </r>
  <r>
    <n v="1062"/>
    <x v="0"/>
    <x v="0"/>
    <s v="Lithman, Mr. Simon"/>
    <x v="0"/>
    <x v="0"/>
    <n v="30.2"/>
    <n v="0"/>
    <n v="0"/>
    <s v="S.O./P.P. 251"/>
    <n v="7.55"/>
    <m/>
    <x v="1"/>
    <s v="NO"/>
    <x v="0"/>
    <x v="0"/>
  </r>
  <r>
    <n v="1063"/>
    <x v="0"/>
    <x v="0"/>
    <s v="Zakarian, Mr. Ortin"/>
    <x v="0"/>
    <x v="2"/>
    <n v="27"/>
    <n v="0"/>
    <n v="0"/>
    <s v="2670"/>
    <n v="7.2249999999999996"/>
    <m/>
    <x v="2"/>
    <s v="NO"/>
    <x v="0"/>
    <x v="0"/>
  </r>
  <r>
    <n v="1064"/>
    <x v="0"/>
    <x v="0"/>
    <s v="Dyker, Mr. Adolf Fredrik"/>
    <x v="0"/>
    <x v="2"/>
    <n v="23"/>
    <n v="1"/>
    <n v="0"/>
    <s v="347072"/>
    <n v="13.9"/>
    <m/>
    <x v="1"/>
    <s v="NO"/>
    <x v="1"/>
    <x v="0"/>
  </r>
  <r>
    <n v="1065"/>
    <x v="0"/>
    <x v="0"/>
    <s v="Torfa, Mr. Assad"/>
    <x v="0"/>
    <x v="0"/>
    <n v="30.2"/>
    <n v="0"/>
    <n v="0"/>
    <s v="2673"/>
    <n v="7.2291999999999996"/>
    <m/>
    <x v="2"/>
    <s v="NO"/>
    <x v="0"/>
    <x v="0"/>
  </r>
  <r>
    <n v="1066"/>
    <x v="0"/>
    <x v="0"/>
    <s v="Asplund, Mr. Carl Oscar Vilhelm Gustafsson"/>
    <x v="0"/>
    <x v="0"/>
    <n v="40"/>
    <n v="1"/>
    <n v="5"/>
    <s v="347077"/>
    <n v="31.387499999999999"/>
    <m/>
    <x v="1"/>
    <s v="NO"/>
    <x v="1"/>
    <x v="1"/>
  </r>
  <r>
    <n v="1067"/>
    <x v="1"/>
    <x v="1"/>
    <s v="Brown, Miss. Edith Eileen"/>
    <x v="1"/>
    <x v="3"/>
    <n v="15"/>
    <n v="0"/>
    <n v="2"/>
    <s v="29750"/>
    <n v="39"/>
    <m/>
    <x v="1"/>
    <s v="YES"/>
    <x v="0"/>
    <x v="1"/>
  </r>
  <r>
    <n v="1068"/>
    <x v="1"/>
    <x v="1"/>
    <s v="Sincock, Miss. Maude"/>
    <x v="1"/>
    <x v="2"/>
    <n v="20"/>
    <n v="0"/>
    <n v="0"/>
    <s v="C.A. 33112"/>
    <n v="36.75"/>
    <m/>
    <x v="1"/>
    <s v="NO"/>
    <x v="0"/>
    <x v="0"/>
  </r>
  <r>
    <n v="1069"/>
    <x v="0"/>
    <x v="2"/>
    <s v="Stengel, Mr. Charles Emil Henry"/>
    <x v="0"/>
    <x v="0"/>
    <n v="54"/>
    <n v="1"/>
    <n v="0"/>
    <s v="11778"/>
    <n v="55.441699999999997"/>
    <s v="C116"/>
    <x v="2"/>
    <s v="NO"/>
    <x v="1"/>
    <x v="0"/>
  </r>
  <r>
    <n v="1070"/>
    <x v="1"/>
    <x v="1"/>
    <s v="Becker, Mrs. Allen Oliver (Nellie E Baumgardner)"/>
    <x v="1"/>
    <x v="0"/>
    <n v="36"/>
    <n v="0"/>
    <n v="3"/>
    <s v="230136"/>
    <n v="39"/>
    <s v="F4"/>
    <x v="1"/>
    <s v="NO"/>
    <x v="0"/>
    <x v="1"/>
  </r>
  <r>
    <n v="1071"/>
    <x v="1"/>
    <x v="2"/>
    <s v="Compton, Mrs. Alexander Taylor (Mary Eliza Ingersoll)"/>
    <x v="1"/>
    <x v="1"/>
    <n v="64"/>
    <n v="0"/>
    <n v="2"/>
    <s v="Pc 17756"/>
    <n v="83.158299999999997"/>
    <s v="E45"/>
    <x v="2"/>
    <s v="NO"/>
    <x v="0"/>
    <x v="1"/>
  </r>
  <r>
    <n v="1072"/>
    <x v="0"/>
    <x v="1"/>
    <s v="McCrie, Mr. James Matthew"/>
    <x v="0"/>
    <x v="0"/>
    <n v="30"/>
    <n v="0"/>
    <n v="0"/>
    <s v="233478"/>
    <n v="13"/>
    <m/>
    <x v="1"/>
    <s v="NO"/>
    <x v="0"/>
    <x v="0"/>
  </r>
  <r>
    <n v="1073"/>
    <x v="0"/>
    <x v="2"/>
    <s v="Compton, Mr. Alexander Taylor Jr"/>
    <x v="0"/>
    <x v="0"/>
    <n v="37"/>
    <n v="1"/>
    <n v="1"/>
    <s v="Pc 17756"/>
    <n v="83.158299999999997"/>
    <s v="E52"/>
    <x v="2"/>
    <s v="NO"/>
    <x v="1"/>
    <x v="1"/>
  </r>
  <r>
    <n v="1074"/>
    <x v="1"/>
    <x v="2"/>
    <s v="Marvin, Mrs. Daniel Warner (Mary Graham Carmichael Farquarson)"/>
    <x v="1"/>
    <x v="2"/>
    <n v="18"/>
    <n v="1"/>
    <n v="0"/>
    <s v="113773"/>
    <n v="53.1"/>
    <s v="D30"/>
    <x v="1"/>
    <s v="NO"/>
    <x v="1"/>
    <x v="0"/>
  </r>
  <r>
    <n v="1075"/>
    <x v="0"/>
    <x v="0"/>
    <s v="Lane, Mr. Patrick"/>
    <x v="0"/>
    <x v="0"/>
    <n v="30.2"/>
    <n v="0"/>
    <n v="0"/>
    <s v="7935"/>
    <n v="7.75"/>
    <m/>
    <x v="0"/>
    <s v="NO"/>
    <x v="0"/>
    <x v="0"/>
  </r>
  <r>
    <n v="1076"/>
    <x v="1"/>
    <x v="2"/>
    <s v="Douglas, Mrs. Frederick Charles (Mary Helene Baxter)"/>
    <x v="1"/>
    <x v="2"/>
    <n v="27"/>
    <n v="1"/>
    <n v="1"/>
    <s v="Pc 17558"/>
    <n v="247.52080000000001"/>
    <s v="B58 B60"/>
    <x v="2"/>
    <s v="NO"/>
    <x v="1"/>
    <x v="1"/>
  </r>
  <r>
    <n v="1077"/>
    <x v="0"/>
    <x v="1"/>
    <s v="Maybery, Mr. Frank Hubert"/>
    <x v="0"/>
    <x v="0"/>
    <n v="40"/>
    <n v="0"/>
    <n v="0"/>
    <s v="239059"/>
    <n v="16"/>
    <m/>
    <x v="1"/>
    <s v="NO"/>
    <x v="0"/>
    <x v="0"/>
  </r>
  <r>
    <n v="1078"/>
    <x v="1"/>
    <x v="1"/>
    <s v="Phillips, Miss. Alice Frances Louisa"/>
    <x v="1"/>
    <x v="2"/>
    <n v="21"/>
    <n v="0"/>
    <n v="1"/>
    <s v="S.O./P.P. 2"/>
    <n v="21"/>
    <m/>
    <x v="1"/>
    <s v="NO"/>
    <x v="0"/>
    <x v="1"/>
  </r>
  <r>
    <n v="1079"/>
    <x v="0"/>
    <x v="0"/>
    <s v="Davies, Mr. Joseph"/>
    <x v="0"/>
    <x v="3"/>
    <n v="17"/>
    <n v="2"/>
    <n v="0"/>
    <s v="A/4 48873"/>
    <n v="8.0500000000000007"/>
    <m/>
    <x v="1"/>
    <s v="YES"/>
    <x v="1"/>
    <x v="0"/>
  </r>
  <r>
    <n v="1080"/>
    <x v="1"/>
    <x v="0"/>
    <s v="Sage, Miss. Ada"/>
    <x v="1"/>
    <x v="0"/>
    <n v="30.2"/>
    <n v="8"/>
    <n v="2"/>
    <s v="Ca. 2343"/>
    <n v="69.55"/>
    <m/>
    <x v="1"/>
    <s v="NO"/>
    <x v="1"/>
    <x v="1"/>
  </r>
  <r>
    <n v="1081"/>
    <x v="0"/>
    <x v="1"/>
    <s v="Veal, Mr. James"/>
    <x v="0"/>
    <x v="0"/>
    <n v="40"/>
    <n v="0"/>
    <n v="0"/>
    <s v="28221"/>
    <n v="13"/>
    <m/>
    <x v="1"/>
    <s v="NO"/>
    <x v="0"/>
    <x v="0"/>
  </r>
  <r>
    <n v="1082"/>
    <x v="0"/>
    <x v="1"/>
    <s v="Angle, Mr. William A"/>
    <x v="0"/>
    <x v="0"/>
    <n v="34"/>
    <n v="1"/>
    <n v="0"/>
    <s v="226875"/>
    <n v="26"/>
    <m/>
    <x v="1"/>
    <s v="NO"/>
    <x v="1"/>
    <x v="0"/>
  </r>
  <r>
    <n v="1083"/>
    <x v="0"/>
    <x v="2"/>
    <s v="Salomon, Mr. Abraham L"/>
    <x v="0"/>
    <x v="0"/>
    <n v="30.2"/>
    <n v="0"/>
    <n v="0"/>
    <s v="111163"/>
    <n v="26"/>
    <m/>
    <x v="1"/>
    <s v="NO"/>
    <x v="0"/>
    <x v="0"/>
  </r>
  <r>
    <n v="1084"/>
    <x v="0"/>
    <x v="0"/>
    <s v="van Billiard, Master. Walter John"/>
    <x v="0"/>
    <x v="3"/>
    <n v="11.5"/>
    <n v="1"/>
    <n v="1"/>
    <s v="A/5. 851"/>
    <n v="14.5"/>
    <m/>
    <x v="1"/>
    <s v="YES"/>
    <x v="1"/>
    <x v="1"/>
  </r>
  <r>
    <n v="1085"/>
    <x v="0"/>
    <x v="1"/>
    <s v="Lingane, Mr. John"/>
    <x v="0"/>
    <x v="1"/>
    <n v="61"/>
    <n v="0"/>
    <n v="0"/>
    <s v="235509"/>
    <n v="12.35"/>
    <m/>
    <x v="0"/>
    <s v="NO"/>
    <x v="0"/>
    <x v="0"/>
  </r>
  <r>
    <n v="1086"/>
    <x v="0"/>
    <x v="1"/>
    <s v="Drew, Master. Marshall Brines"/>
    <x v="0"/>
    <x v="3"/>
    <n v="8"/>
    <n v="0"/>
    <n v="2"/>
    <s v="28220"/>
    <n v="32.5"/>
    <m/>
    <x v="1"/>
    <s v="YES"/>
    <x v="0"/>
    <x v="1"/>
  </r>
  <r>
    <n v="1087"/>
    <x v="0"/>
    <x v="0"/>
    <s v="Karlsson, Mr. Julius Konrad Eugen"/>
    <x v="0"/>
    <x v="0"/>
    <n v="33"/>
    <n v="0"/>
    <n v="0"/>
    <s v="347465"/>
    <n v="7.8541999999999996"/>
    <m/>
    <x v="1"/>
    <s v="NO"/>
    <x v="0"/>
    <x v="0"/>
  </r>
  <r>
    <n v="1088"/>
    <x v="0"/>
    <x v="2"/>
    <s v="Spedden, Master. Robert Douglas"/>
    <x v="0"/>
    <x v="3"/>
    <n v="6"/>
    <n v="0"/>
    <n v="2"/>
    <s v="16966"/>
    <n v="134.5"/>
    <s v="E34"/>
    <x v="2"/>
    <s v="YES"/>
    <x v="0"/>
    <x v="1"/>
  </r>
  <r>
    <n v="1089"/>
    <x v="1"/>
    <x v="0"/>
    <s v="Nilsson, Miss. Berta Olivia"/>
    <x v="1"/>
    <x v="2"/>
    <n v="18"/>
    <n v="0"/>
    <n v="0"/>
    <s v="347066"/>
    <n v="7.7750000000000004"/>
    <m/>
    <x v="1"/>
    <s v="NO"/>
    <x v="0"/>
    <x v="0"/>
  </r>
  <r>
    <n v="1090"/>
    <x v="0"/>
    <x v="1"/>
    <s v="Baimbrigge, Mr. Charles Robert"/>
    <x v="0"/>
    <x v="2"/>
    <n v="23"/>
    <n v="0"/>
    <n v="0"/>
    <s v="C.A. 31030"/>
    <n v="10.5"/>
    <m/>
    <x v="1"/>
    <s v="NO"/>
    <x v="0"/>
    <x v="0"/>
  </r>
  <r>
    <n v="1091"/>
    <x v="1"/>
    <x v="0"/>
    <s v="Rasmussen, Mrs. (Lena Jacobsen Solvang)"/>
    <x v="1"/>
    <x v="0"/>
    <n v="30.2"/>
    <n v="0"/>
    <n v="0"/>
    <s v="65305"/>
    <n v="8.1125000000000007"/>
    <m/>
    <x v="1"/>
    <s v="NO"/>
    <x v="0"/>
    <x v="0"/>
  </r>
  <r>
    <n v="1092"/>
    <x v="1"/>
    <x v="0"/>
    <s v="Murphy, Miss. Nora"/>
    <x v="1"/>
    <x v="0"/>
    <n v="30.2"/>
    <n v="0"/>
    <n v="0"/>
    <s v="36568"/>
    <n v="15.5"/>
    <m/>
    <x v="0"/>
    <s v="NO"/>
    <x v="0"/>
    <x v="0"/>
  </r>
  <r>
    <n v="1093"/>
    <x v="0"/>
    <x v="0"/>
    <s v="Danbom, Master. Gilbert Sigvard Emanuel"/>
    <x v="0"/>
    <x v="3"/>
    <n v="0.33"/>
    <n v="0"/>
    <n v="2"/>
    <s v="347080"/>
    <n v="14.4"/>
    <m/>
    <x v="1"/>
    <s v="YES"/>
    <x v="0"/>
    <x v="1"/>
  </r>
  <r>
    <n v="1094"/>
    <x v="0"/>
    <x v="2"/>
    <s v="Astor, Col. John Jacob"/>
    <x v="0"/>
    <x v="0"/>
    <n v="47"/>
    <n v="1"/>
    <n v="0"/>
    <s v="Pc 17757"/>
    <n v="227.52500000000001"/>
    <s v="C62 C64"/>
    <x v="2"/>
    <s v="NO"/>
    <x v="1"/>
    <x v="0"/>
  </r>
  <r>
    <n v="1095"/>
    <x v="1"/>
    <x v="1"/>
    <s v="Quick, Miss. Winifred Vera"/>
    <x v="1"/>
    <x v="3"/>
    <n v="8"/>
    <n v="1"/>
    <n v="1"/>
    <s v="26360"/>
    <n v="26"/>
    <m/>
    <x v="1"/>
    <s v="YES"/>
    <x v="1"/>
    <x v="1"/>
  </r>
  <r>
    <n v="1096"/>
    <x v="0"/>
    <x v="1"/>
    <s v="Andrew, Mr. Frank Thomas"/>
    <x v="0"/>
    <x v="2"/>
    <n v="25"/>
    <n v="0"/>
    <n v="0"/>
    <s v="C.A. 34050"/>
    <n v="10.5"/>
    <m/>
    <x v="1"/>
    <s v="NO"/>
    <x v="0"/>
    <x v="0"/>
  </r>
  <r>
    <n v="1097"/>
    <x v="0"/>
    <x v="2"/>
    <s v="Omont, Mr. Alfred Fernand"/>
    <x v="0"/>
    <x v="0"/>
    <n v="30.2"/>
    <n v="0"/>
    <n v="0"/>
    <s v="F.C. 12998"/>
    <n v="25.741700000000002"/>
    <m/>
    <x v="2"/>
    <s v="NO"/>
    <x v="0"/>
    <x v="0"/>
  </r>
  <r>
    <n v="1098"/>
    <x v="1"/>
    <x v="0"/>
    <s v="McGowan, Miss. Katherine"/>
    <x v="1"/>
    <x v="0"/>
    <n v="35"/>
    <n v="0"/>
    <n v="0"/>
    <s v="9232"/>
    <n v="7.75"/>
    <m/>
    <x v="0"/>
    <s v="NO"/>
    <x v="0"/>
    <x v="0"/>
  </r>
  <r>
    <n v="1099"/>
    <x v="0"/>
    <x v="1"/>
    <s v="Collett, Mr. Sidney C Stuart"/>
    <x v="0"/>
    <x v="2"/>
    <n v="24"/>
    <n v="0"/>
    <n v="0"/>
    <s v="28034"/>
    <n v="10.5"/>
    <m/>
    <x v="1"/>
    <s v="NO"/>
    <x v="0"/>
    <x v="0"/>
  </r>
  <r>
    <n v="1100"/>
    <x v="1"/>
    <x v="2"/>
    <s v="Rosenbaum, Miss. Edith Louise"/>
    <x v="1"/>
    <x v="0"/>
    <n v="33"/>
    <n v="0"/>
    <n v="0"/>
    <s v="Pc 17613"/>
    <n v="27.720800000000001"/>
    <s v="A11"/>
    <x v="2"/>
    <s v="NO"/>
    <x v="0"/>
    <x v="0"/>
  </r>
  <r>
    <n v="1101"/>
    <x v="0"/>
    <x v="0"/>
    <s v="Delalic, Mr. Redjo"/>
    <x v="0"/>
    <x v="2"/>
    <n v="25"/>
    <n v="0"/>
    <n v="0"/>
    <s v="349250"/>
    <n v="7.8958000000000004"/>
    <m/>
    <x v="1"/>
    <s v="NO"/>
    <x v="0"/>
    <x v="0"/>
  </r>
  <r>
    <n v="1102"/>
    <x v="0"/>
    <x v="0"/>
    <s v="Andersen, Mr. Albert Karvin"/>
    <x v="0"/>
    <x v="0"/>
    <n v="32"/>
    <n v="0"/>
    <n v="0"/>
    <s v="C 4001"/>
    <n v="22.524999999999999"/>
    <m/>
    <x v="1"/>
    <s v="NO"/>
    <x v="0"/>
    <x v="0"/>
  </r>
  <r>
    <n v="1103"/>
    <x v="0"/>
    <x v="0"/>
    <s v="Finoli, Mr. Luigi"/>
    <x v="0"/>
    <x v="0"/>
    <n v="30.2"/>
    <n v="0"/>
    <n v="0"/>
    <s v="Soton/O.Q. 3101308"/>
    <n v="7.05"/>
    <m/>
    <x v="1"/>
    <s v="NO"/>
    <x v="0"/>
    <x v="0"/>
  </r>
  <r>
    <n v="1104"/>
    <x v="0"/>
    <x v="1"/>
    <s v="Deacon, Mr. Percy William"/>
    <x v="0"/>
    <x v="3"/>
    <n v="17"/>
    <n v="0"/>
    <n v="0"/>
    <s v="S.O.C. 14879"/>
    <n v="73.5"/>
    <m/>
    <x v="1"/>
    <s v="YES"/>
    <x v="0"/>
    <x v="0"/>
  </r>
  <r>
    <n v="1105"/>
    <x v="1"/>
    <x v="1"/>
    <s v="Howard, Mrs. Benjamin (Ellen Truelove Arman)"/>
    <x v="1"/>
    <x v="1"/>
    <n v="60"/>
    <n v="1"/>
    <n v="0"/>
    <s v="24065"/>
    <n v="26"/>
    <m/>
    <x v="1"/>
    <s v="NO"/>
    <x v="1"/>
    <x v="0"/>
  </r>
  <r>
    <n v="1106"/>
    <x v="1"/>
    <x v="0"/>
    <s v="Andersson, Miss. Ida Augusta Margareta"/>
    <x v="1"/>
    <x v="0"/>
    <n v="38"/>
    <n v="4"/>
    <n v="2"/>
    <s v="347091"/>
    <n v="7.7750000000000004"/>
    <m/>
    <x v="1"/>
    <s v="NO"/>
    <x v="1"/>
    <x v="1"/>
  </r>
  <r>
    <n v="1107"/>
    <x v="0"/>
    <x v="2"/>
    <s v="Head, Mr. Christopher"/>
    <x v="0"/>
    <x v="0"/>
    <n v="42"/>
    <n v="0"/>
    <n v="0"/>
    <s v="113038"/>
    <n v="42.5"/>
    <s v="B11"/>
    <x v="1"/>
    <s v="NO"/>
    <x v="0"/>
    <x v="0"/>
  </r>
  <r>
    <n v="1108"/>
    <x v="1"/>
    <x v="0"/>
    <s v="Mahon, Miss. Bridget Delia"/>
    <x v="1"/>
    <x v="0"/>
    <n v="30.2"/>
    <n v="0"/>
    <n v="0"/>
    <s v="330924"/>
    <n v="7.8792"/>
    <m/>
    <x v="0"/>
    <s v="NO"/>
    <x v="0"/>
    <x v="0"/>
  </r>
  <r>
    <n v="1109"/>
    <x v="0"/>
    <x v="2"/>
    <s v="Wick, Mr. George Dennick"/>
    <x v="0"/>
    <x v="0"/>
    <n v="57"/>
    <n v="1"/>
    <n v="1"/>
    <s v="36928"/>
    <n v="164.86670000000001"/>
    <m/>
    <x v="1"/>
    <s v="NO"/>
    <x v="1"/>
    <x v="1"/>
  </r>
  <r>
    <n v="1110"/>
    <x v="1"/>
    <x v="2"/>
    <s v="Widener, Mrs. George Dunton (Eleanor Elkins)"/>
    <x v="1"/>
    <x v="0"/>
    <n v="30.2"/>
    <n v="1"/>
    <n v="1"/>
    <s v="113503"/>
    <n v="211.5"/>
    <s v="C80"/>
    <x v="2"/>
    <s v="NO"/>
    <x v="1"/>
    <x v="1"/>
  </r>
  <r>
    <n v="1111"/>
    <x v="0"/>
    <x v="0"/>
    <s v="Thomson, Mr. Alexander Morrison"/>
    <x v="0"/>
    <x v="0"/>
    <n v="30.2"/>
    <n v="0"/>
    <n v="0"/>
    <s v="32302"/>
    <n v="8.0500000000000007"/>
    <m/>
    <x v="1"/>
    <s v="NO"/>
    <x v="0"/>
    <x v="0"/>
  </r>
  <r>
    <n v="1112"/>
    <x v="1"/>
    <x v="1"/>
    <s v="Duran y More, Miss. Florentina"/>
    <x v="1"/>
    <x v="0"/>
    <n v="30"/>
    <n v="1"/>
    <n v="0"/>
    <s v="Sc/Paris 2148"/>
    <n v="13.8583"/>
    <m/>
    <x v="2"/>
    <s v="NO"/>
    <x v="1"/>
    <x v="0"/>
  </r>
  <r>
    <n v="1113"/>
    <x v="0"/>
    <x v="0"/>
    <s v="Reynolds, Mr. Harold J"/>
    <x v="0"/>
    <x v="2"/>
    <n v="21"/>
    <n v="0"/>
    <n v="0"/>
    <s v="342684"/>
    <n v="8.0500000000000007"/>
    <m/>
    <x v="1"/>
    <s v="NO"/>
    <x v="0"/>
    <x v="0"/>
  </r>
  <r>
    <n v="1114"/>
    <x v="1"/>
    <x v="1"/>
    <s v="Cook, Mrs. (Selena Rogers)"/>
    <x v="1"/>
    <x v="2"/>
    <n v="22"/>
    <n v="0"/>
    <n v="0"/>
    <s v="W./C. 14266"/>
    <n v="10.5"/>
    <s v="F33"/>
    <x v="1"/>
    <s v="NO"/>
    <x v="0"/>
    <x v="0"/>
  </r>
  <r>
    <n v="1115"/>
    <x v="0"/>
    <x v="0"/>
    <s v="Karlsson, Mr. Einar Gervasius"/>
    <x v="0"/>
    <x v="2"/>
    <n v="21"/>
    <n v="0"/>
    <n v="0"/>
    <s v="350053"/>
    <n v="7.7957999999999998"/>
    <m/>
    <x v="1"/>
    <s v="NO"/>
    <x v="0"/>
    <x v="0"/>
  </r>
  <r>
    <n v="1116"/>
    <x v="1"/>
    <x v="2"/>
    <s v="Candee, Mrs. Edward (Helen Churchill Hungerford)"/>
    <x v="1"/>
    <x v="0"/>
    <n v="53"/>
    <n v="0"/>
    <n v="0"/>
    <s v="Pc 17606"/>
    <n v="27.445799999999998"/>
    <m/>
    <x v="2"/>
    <s v="NO"/>
    <x v="0"/>
    <x v="0"/>
  </r>
  <r>
    <n v="1117"/>
    <x v="1"/>
    <x v="0"/>
    <s v="Moubarek, Mrs. George (Omine Amenia&quot; Alexander)&quot;"/>
    <x v="1"/>
    <x v="0"/>
    <n v="30.2"/>
    <n v="0"/>
    <n v="2"/>
    <s v="2661"/>
    <n v="15.245799999999999"/>
    <m/>
    <x v="2"/>
    <s v="NO"/>
    <x v="0"/>
    <x v="1"/>
  </r>
  <r>
    <n v="1118"/>
    <x v="0"/>
    <x v="0"/>
    <s v="Asplund, Mr. Johan Charles"/>
    <x v="0"/>
    <x v="2"/>
    <n v="23"/>
    <n v="0"/>
    <n v="0"/>
    <s v="350054"/>
    <n v="7.7957999999999998"/>
    <m/>
    <x v="1"/>
    <s v="NO"/>
    <x v="0"/>
    <x v="0"/>
  </r>
  <r>
    <n v="1119"/>
    <x v="1"/>
    <x v="0"/>
    <s v="McNeill, Miss. Bridget"/>
    <x v="1"/>
    <x v="0"/>
    <n v="30.2"/>
    <n v="0"/>
    <n v="0"/>
    <s v="370368"/>
    <n v="7.75"/>
    <m/>
    <x v="0"/>
    <s v="NO"/>
    <x v="0"/>
    <x v="0"/>
  </r>
  <r>
    <n v="1120"/>
    <x v="0"/>
    <x v="0"/>
    <s v="Everett, Mr. Thomas James"/>
    <x v="0"/>
    <x v="0"/>
    <n v="40.5"/>
    <n v="0"/>
    <n v="0"/>
    <s v="C.A. 6212"/>
    <n v="15.1"/>
    <m/>
    <x v="1"/>
    <s v="NO"/>
    <x v="0"/>
    <x v="0"/>
  </r>
  <r>
    <n v="1121"/>
    <x v="0"/>
    <x v="1"/>
    <s v="Hocking, Mr. Samuel James Metcalfe"/>
    <x v="0"/>
    <x v="0"/>
    <n v="36"/>
    <n v="0"/>
    <n v="0"/>
    <s v="242963"/>
    <n v="13"/>
    <m/>
    <x v="1"/>
    <s v="NO"/>
    <x v="0"/>
    <x v="0"/>
  </r>
  <r>
    <n v="1122"/>
    <x v="0"/>
    <x v="1"/>
    <s v="Sweet, Mr. George Frederick"/>
    <x v="0"/>
    <x v="3"/>
    <n v="14"/>
    <n v="0"/>
    <n v="0"/>
    <s v="220845"/>
    <n v="65"/>
    <m/>
    <x v="1"/>
    <s v="YES"/>
    <x v="0"/>
    <x v="0"/>
  </r>
  <r>
    <n v="1123"/>
    <x v="1"/>
    <x v="2"/>
    <s v="Willard, Miss. Constance"/>
    <x v="1"/>
    <x v="2"/>
    <n v="21"/>
    <n v="0"/>
    <n v="0"/>
    <s v="113795"/>
    <n v="26.55"/>
    <m/>
    <x v="1"/>
    <s v="NO"/>
    <x v="0"/>
    <x v="0"/>
  </r>
  <r>
    <n v="1124"/>
    <x v="0"/>
    <x v="0"/>
    <s v="Wiklund, Mr. Karl Johan"/>
    <x v="0"/>
    <x v="2"/>
    <n v="21"/>
    <n v="1"/>
    <n v="0"/>
    <s v="3101266"/>
    <n v="6.4958"/>
    <m/>
    <x v="1"/>
    <s v="NO"/>
    <x v="1"/>
    <x v="0"/>
  </r>
  <r>
    <n v="1125"/>
    <x v="0"/>
    <x v="0"/>
    <s v="Linehan, Mr. Michael"/>
    <x v="0"/>
    <x v="0"/>
    <n v="30.2"/>
    <n v="0"/>
    <n v="0"/>
    <s v="330971"/>
    <n v="7.8792"/>
    <m/>
    <x v="0"/>
    <s v="NO"/>
    <x v="0"/>
    <x v="0"/>
  </r>
  <r>
    <n v="1126"/>
    <x v="0"/>
    <x v="2"/>
    <s v="Cumings, Mr. John Bradley"/>
    <x v="0"/>
    <x v="0"/>
    <n v="39"/>
    <n v="1"/>
    <n v="0"/>
    <s v="Pc 17599"/>
    <n v="71.283299999999997"/>
    <s v="C85"/>
    <x v="2"/>
    <s v="NO"/>
    <x v="1"/>
    <x v="0"/>
  </r>
  <r>
    <n v="1127"/>
    <x v="0"/>
    <x v="0"/>
    <s v="Vendel, Mr. Olof Edvin"/>
    <x v="0"/>
    <x v="2"/>
    <n v="20"/>
    <n v="0"/>
    <n v="0"/>
    <s v="350416"/>
    <n v="7.8541999999999996"/>
    <m/>
    <x v="1"/>
    <s v="NO"/>
    <x v="0"/>
    <x v="0"/>
  </r>
  <r>
    <n v="1128"/>
    <x v="0"/>
    <x v="2"/>
    <s v="Warren, Mr. Frank Manley"/>
    <x v="0"/>
    <x v="1"/>
    <n v="64"/>
    <n v="1"/>
    <n v="0"/>
    <s v="110813"/>
    <n v="75.25"/>
    <s v="D37"/>
    <x v="2"/>
    <s v="NO"/>
    <x v="1"/>
    <x v="0"/>
  </r>
  <r>
    <n v="1129"/>
    <x v="0"/>
    <x v="0"/>
    <s v="Baccos, Mr. Raffull"/>
    <x v="0"/>
    <x v="2"/>
    <n v="20"/>
    <n v="0"/>
    <n v="0"/>
    <s v="2679"/>
    <n v="7.2249999999999996"/>
    <m/>
    <x v="2"/>
    <s v="NO"/>
    <x v="0"/>
    <x v="0"/>
  </r>
  <r>
    <n v="1130"/>
    <x v="1"/>
    <x v="1"/>
    <s v="Hiltunen, Miss. Marta"/>
    <x v="1"/>
    <x v="2"/>
    <n v="18"/>
    <n v="1"/>
    <n v="1"/>
    <s v="250650"/>
    <n v="13"/>
    <m/>
    <x v="1"/>
    <s v="NO"/>
    <x v="1"/>
    <x v="1"/>
  </r>
  <r>
    <n v="1131"/>
    <x v="1"/>
    <x v="2"/>
    <s v="Douglas, Mrs. Walter Donald (Mahala Dutton)"/>
    <x v="1"/>
    <x v="0"/>
    <n v="48"/>
    <n v="1"/>
    <n v="0"/>
    <s v="Pc 17761"/>
    <n v="106.425"/>
    <s v="C86"/>
    <x v="2"/>
    <s v="NO"/>
    <x v="1"/>
    <x v="0"/>
  </r>
  <r>
    <n v="1132"/>
    <x v="1"/>
    <x v="2"/>
    <s v="Lindstrom, Mrs. Carl Johan (Sigrid Posse)"/>
    <x v="1"/>
    <x v="0"/>
    <n v="55"/>
    <n v="0"/>
    <n v="0"/>
    <s v="112377"/>
    <n v="27.720800000000001"/>
    <m/>
    <x v="2"/>
    <s v="NO"/>
    <x v="0"/>
    <x v="0"/>
  </r>
  <r>
    <n v="1133"/>
    <x v="1"/>
    <x v="1"/>
    <s v="Christy, Mrs. (Alice Frances)"/>
    <x v="1"/>
    <x v="0"/>
    <n v="45"/>
    <n v="0"/>
    <n v="2"/>
    <s v="237789"/>
    <n v="30"/>
    <m/>
    <x v="1"/>
    <s v="NO"/>
    <x v="0"/>
    <x v="1"/>
  </r>
  <r>
    <n v="1134"/>
    <x v="0"/>
    <x v="2"/>
    <s v="Spedden, Mr. Frederic Oakley"/>
    <x v="0"/>
    <x v="0"/>
    <n v="45"/>
    <n v="1"/>
    <n v="1"/>
    <s v="16966"/>
    <n v="134.5"/>
    <s v="E34"/>
    <x v="2"/>
    <s v="NO"/>
    <x v="1"/>
    <x v="1"/>
  </r>
  <r>
    <n v="1135"/>
    <x v="0"/>
    <x v="0"/>
    <s v="Hyman, Mr. Abraham"/>
    <x v="0"/>
    <x v="0"/>
    <n v="30.2"/>
    <n v="0"/>
    <n v="0"/>
    <s v="3470"/>
    <n v="7.8875000000000002"/>
    <m/>
    <x v="1"/>
    <s v="NO"/>
    <x v="0"/>
    <x v="0"/>
  </r>
  <r>
    <n v="1136"/>
    <x v="0"/>
    <x v="0"/>
    <s v="Johnston, Master. William Arthur Willie&quot;&quot;"/>
    <x v="0"/>
    <x v="0"/>
    <n v="30.2"/>
    <n v="1"/>
    <n v="2"/>
    <s v="W./C. 6607"/>
    <n v="23.45"/>
    <m/>
    <x v="1"/>
    <s v="NO"/>
    <x v="1"/>
    <x v="1"/>
  </r>
  <r>
    <n v="1137"/>
    <x v="0"/>
    <x v="2"/>
    <s v="Kenyon, Mr. Frederick R"/>
    <x v="0"/>
    <x v="0"/>
    <n v="41"/>
    <n v="1"/>
    <n v="0"/>
    <s v="17464"/>
    <n v="51.862499999999997"/>
    <s v="D21"/>
    <x v="1"/>
    <s v="NO"/>
    <x v="1"/>
    <x v="0"/>
  </r>
  <r>
    <n v="1138"/>
    <x v="1"/>
    <x v="1"/>
    <s v="Karnes, Mrs. J Frank (Claire Bennett)"/>
    <x v="1"/>
    <x v="2"/>
    <n v="22"/>
    <n v="0"/>
    <n v="0"/>
    <s v="F.C.C. 13534"/>
    <n v="21"/>
    <m/>
    <x v="1"/>
    <s v="NO"/>
    <x v="0"/>
    <x v="0"/>
  </r>
  <r>
    <n v="1139"/>
    <x v="0"/>
    <x v="1"/>
    <s v="Drew, Mr. James Vivian"/>
    <x v="0"/>
    <x v="0"/>
    <n v="42"/>
    <n v="1"/>
    <n v="1"/>
    <s v="28220"/>
    <n v="32.5"/>
    <m/>
    <x v="1"/>
    <s v="NO"/>
    <x v="1"/>
    <x v="1"/>
  </r>
  <r>
    <n v="1140"/>
    <x v="1"/>
    <x v="1"/>
    <s v="Hold, Mrs. Stephen (Annie Margaret Hill)"/>
    <x v="1"/>
    <x v="2"/>
    <n v="29"/>
    <n v="1"/>
    <n v="0"/>
    <s v="26707"/>
    <n v="26"/>
    <m/>
    <x v="1"/>
    <s v="NO"/>
    <x v="1"/>
    <x v="0"/>
  </r>
  <r>
    <n v="1141"/>
    <x v="1"/>
    <x v="0"/>
    <s v="Khalil, Mrs. Betros (Zahie Maria&quot; Elias)&quot;"/>
    <x v="1"/>
    <x v="0"/>
    <n v="30.2"/>
    <n v="1"/>
    <n v="0"/>
    <s v="2660"/>
    <n v="14.4542"/>
    <m/>
    <x v="2"/>
    <s v="NO"/>
    <x v="1"/>
    <x v="0"/>
  </r>
  <r>
    <n v="1142"/>
    <x v="1"/>
    <x v="1"/>
    <s v="West, Miss. Barbara J"/>
    <x v="1"/>
    <x v="3"/>
    <n v="0.92"/>
    <n v="1"/>
    <n v="2"/>
    <s v="C.A. 34651"/>
    <n v="27.75"/>
    <m/>
    <x v="1"/>
    <s v="YES"/>
    <x v="1"/>
    <x v="1"/>
  </r>
  <r>
    <n v="1143"/>
    <x v="0"/>
    <x v="0"/>
    <s v="Abrahamsson, Mr. Abraham August Johannes"/>
    <x v="0"/>
    <x v="2"/>
    <n v="20"/>
    <n v="0"/>
    <n v="0"/>
    <s v="Soton/O2 3101284"/>
    <n v="7.9249999999999998"/>
    <m/>
    <x v="1"/>
    <s v="NO"/>
    <x v="0"/>
    <x v="0"/>
  </r>
  <r>
    <n v="1144"/>
    <x v="0"/>
    <x v="2"/>
    <s v="Clark, Mr. Walter Miller"/>
    <x v="0"/>
    <x v="2"/>
    <n v="27"/>
    <n v="1"/>
    <n v="0"/>
    <s v="13508"/>
    <n v="136.7792"/>
    <s v="C89"/>
    <x v="2"/>
    <s v="NO"/>
    <x v="1"/>
    <x v="0"/>
  </r>
  <r>
    <n v="1145"/>
    <x v="0"/>
    <x v="0"/>
    <s v="Salander, Mr. Karl Johan"/>
    <x v="0"/>
    <x v="2"/>
    <n v="24"/>
    <n v="0"/>
    <n v="0"/>
    <s v="7266"/>
    <n v="9.3249999999999993"/>
    <m/>
    <x v="1"/>
    <s v="NO"/>
    <x v="0"/>
    <x v="0"/>
  </r>
  <r>
    <n v="1146"/>
    <x v="0"/>
    <x v="0"/>
    <s v="Wenzel, Mr. Linhart"/>
    <x v="0"/>
    <x v="0"/>
    <n v="32.5"/>
    <n v="0"/>
    <n v="0"/>
    <s v="345775"/>
    <n v="9.5"/>
    <m/>
    <x v="1"/>
    <s v="NO"/>
    <x v="0"/>
    <x v="0"/>
  </r>
  <r>
    <n v="1147"/>
    <x v="0"/>
    <x v="0"/>
    <s v="MacKay, Mr. George William"/>
    <x v="0"/>
    <x v="0"/>
    <n v="30.2"/>
    <n v="0"/>
    <n v="0"/>
    <s v="C.A. 42795"/>
    <n v="7.55"/>
    <m/>
    <x v="1"/>
    <s v="NO"/>
    <x v="0"/>
    <x v="0"/>
  </r>
  <r>
    <n v="1148"/>
    <x v="0"/>
    <x v="0"/>
    <s v="Mahon, Mr. John"/>
    <x v="0"/>
    <x v="0"/>
    <n v="30.2"/>
    <n v="0"/>
    <n v="0"/>
    <s v="Aq/4 3130"/>
    <n v="7.75"/>
    <m/>
    <x v="0"/>
    <s v="NO"/>
    <x v="0"/>
    <x v="0"/>
  </r>
  <r>
    <n v="1149"/>
    <x v="0"/>
    <x v="0"/>
    <s v="Niklasson, Mr. Samuel"/>
    <x v="0"/>
    <x v="2"/>
    <n v="28"/>
    <n v="0"/>
    <n v="0"/>
    <s v="363611"/>
    <n v="8.0500000000000007"/>
    <m/>
    <x v="1"/>
    <s v="NO"/>
    <x v="0"/>
    <x v="0"/>
  </r>
  <r>
    <n v="1150"/>
    <x v="1"/>
    <x v="1"/>
    <s v="Bentham, Miss. Lilian W"/>
    <x v="1"/>
    <x v="2"/>
    <n v="19"/>
    <n v="0"/>
    <n v="0"/>
    <s v="28404"/>
    <n v="13"/>
    <m/>
    <x v="1"/>
    <s v="NO"/>
    <x v="0"/>
    <x v="0"/>
  </r>
  <r>
    <n v="1151"/>
    <x v="0"/>
    <x v="0"/>
    <s v="Midtsjo, Mr. Karl Albert"/>
    <x v="0"/>
    <x v="2"/>
    <n v="21"/>
    <n v="0"/>
    <n v="0"/>
    <s v="345501"/>
    <n v="7.7750000000000004"/>
    <m/>
    <x v="1"/>
    <s v="NO"/>
    <x v="0"/>
    <x v="0"/>
  </r>
  <r>
    <n v="1152"/>
    <x v="0"/>
    <x v="0"/>
    <s v="de Messemaeker, Mr. Guillaume Joseph"/>
    <x v="0"/>
    <x v="0"/>
    <n v="36.5"/>
    <n v="1"/>
    <n v="0"/>
    <s v="345572"/>
    <n v="17.399999999999999"/>
    <m/>
    <x v="1"/>
    <s v="NO"/>
    <x v="1"/>
    <x v="0"/>
  </r>
  <r>
    <n v="1153"/>
    <x v="0"/>
    <x v="0"/>
    <s v="Nilsson, Mr. August Ferdinand"/>
    <x v="0"/>
    <x v="2"/>
    <n v="21"/>
    <n v="0"/>
    <n v="0"/>
    <s v="350410"/>
    <n v="7.8541999999999996"/>
    <m/>
    <x v="1"/>
    <s v="NO"/>
    <x v="0"/>
    <x v="0"/>
  </r>
  <r>
    <n v="1154"/>
    <x v="1"/>
    <x v="1"/>
    <s v="Wells, Mrs. Arthur Henry (Addie&quot; Dart Trevaskis)&quot;"/>
    <x v="1"/>
    <x v="2"/>
    <n v="29"/>
    <n v="0"/>
    <n v="2"/>
    <s v="29103"/>
    <n v="23"/>
    <m/>
    <x v="1"/>
    <s v="NO"/>
    <x v="0"/>
    <x v="1"/>
  </r>
  <r>
    <n v="1155"/>
    <x v="1"/>
    <x v="0"/>
    <s v="Klasen, Miss. Gertrud Emilia"/>
    <x v="1"/>
    <x v="3"/>
    <n v="1"/>
    <n v="1"/>
    <n v="1"/>
    <s v="350405"/>
    <n v="12.183299999999999"/>
    <m/>
    <x v="1"/>
    <s v="YES"/>
    <x v="1"/>
    <x v="1"/>
  </r>
  <r>
    <n v="1156"/>
    <x v="0"/>
    <x v="1"/>
    <s v="Portaluppi, Mr. Emilio Ilario Giuseppe"/>
    <x v="0"/>
    <x v="0"/>
    <n v="30"/>
    <n v="0"/>
    <n v="0"/>
    <s v="C.A. 34644"/>
    <n v="12.737500000000001"/>
    <m/>
    <x v="2"/>
    <s v="NO"/>
    <x v="0"/>
    <x v="0"/>
  </r>
  <r>
    <n v="1157"/>
    <x v="0"/>
    <x v="0"/>
    <s v="Lyntakoff, Mr. Stanko"/>
    <x v="0"/>
    <x v="0"/>
    <n v="30.2"/>
    <n v="0"/>
    <n v="0"/>
    <s v="349235"/>
    <n v="7.8958000000000004"/>
    <m/>
    <x v="1"/>
    <s v="NO"/>
    <x v="0"/>
    <x v="0"/>
  </r>
  <r>
    <n v="1158"/>
    <x v="0"/>
    <x v="2"/>
    <s v="Chisholm, Mr. Roderick Robert Crispin"/>
    <x v="0"/>
    <x v="0"/>
    <n v="30.2"/>
    <n v="0"/>
    <n v="0"/>
    <s v="112051"/>
    <n v="0"/>
    <m/>
    <x v="1"/>
    <s v="NO"/>
    <x v="0"/>
    <x v="0"/>
  </r>
  <r>
    <n v="1159"/>
    <x v="0"/>
    <x v="0"/>
    <s v="Warren, Mr. Charles William"/>
    <x v="0"/>
    <x v="0"/>
    <n v="30.2"/>
    <n v="0"/>
    <n v="0"/>
    <s v="C.A. 49867"/>
    <n v="7.55"/>
    <m/>
    <x v="1"/>
    <s v="NO"/>
    <x v="0"/>
    <x v="0"/>
  </r>
  <r>
    <n v="1160"/>
    <x v="1"/>
    <x v="0"/>
    <s v="Howard, Miss. May Elizabeth"/>
    <x v="1"/>
    <x v="0"/>
    <n v="30.2"/>
    <n v="0"/>
    <n v="0"/>
    <s v="A. 2. 39186"/>
    <n v="8.0500000000000007"/>
    <m/>
    <x v="1"/>
    <s v="NO"/>
    <x v="0"/>
    <x v="0"/>
  </r>
  <r>
    <n v="1161"/>
    <x v="0"/>
    <x v="0"/>
    <s v="Pokrnic, Mr. Mate"/>
    <x v="0"/>
    <x v="3"/>
    <n v="17"/>
    <n v="0"/>
    <n v="0"/>
    <s v="315095"/>
    <n v="8.6624999999999996"/>
    <m/>
    <x v="1"/>
    <s v="YES"/>
    <x v="0"/>
    <x v="0"/>
  </r>
  <r>
    <n v="1162"/>
    <x v="0"/>
    <x v="2"/>
    <s v="McCaffry, Mr. Thomas Francis"/>
    <x v="0"/>
    <x v="0"/>
    <n v="46"/>
    <n v="0"/>
    <n v="0"/>
    <s v="13050"/>
    <n v="75.241699999999994"/>
    <s v="C6"/>
    <x v="2"/>
    <s v="NO"/>
    <x v="0"/>
    <x v="0"/>
  </r>
  <r>
    <n v="1163"/>
    <x v="0"/>
    <x v="0"/>
    <s v="Fox, Mr. Patrick"/>
    <x v="0"/>
    <x v="0"/>
    <n v="30.2"/>
    <n v="0"/>
    <n v="0"/>
    <s v="368573"/>
    <n v="7.75"/>
    <m/>
    <x v="0"/>
    <s v="NO"/>
    <x v="0"/>
    <x v="0"/>
  </r>
  <r>
    <n v="1164"/>
    <x v="1"/>
    <x v="2"/>
    <s v="Clark, Mrs. Walter Miller (Virginia McDowell)"/>
    <x v="1"/>
    <x v="2"/>
    <n v="26"/>
    <n v="1"/>
    <n v="0"/>
    <s v="13508"/>
    <n v="136.7792"/>
    <s v="C89"/>
    <x v="2"/>
    <s v="NO"/>
    <x v="1"/>
    <x v="0"/>
  </r>
  <r>
    <n v="1165"/>
    <x v="1"/>
    <x v="0"/>
    <s v="Lennon, Miss. Mary"/>
    <x v="1"/>
    <x v="0"/>
    <n v="30.2"/>
    <n v="1"/>
    <n v="0"/>
    <s v="370371"/>
    <n v="15.5"/>
    <m/>
    <x v="0"/>
    <s v="NO"/>
    <x v="1"/>
    <x v="0"/>
  </r>
  <r>
    <n v="1166"/>
    <x v="0"/>
    <x v="0"/>
    <s v="Saade, Mr. Jean Nassr"/>
    <x v="0"/>
    <x v="0"/>
    <n v="30.2"/>
    <n v="0"/>
    <n v="0"/>
    <s v="2676"/>
    <n v="7.2249999999999996"/>
    <m/>
    <x v="2"/>
    <s v="NO"/>
    <x v="0"/>
    <x v="0"/>
  </r>
  <r>
    <n v="1167"/>
    <x v="1"/>
    <x v="1"/>
    <s v="Bryhl, Miss. Dagmar Jenny Ingeborg "/>
    <x v="1"/>
    <x v="2"/>
    <n v="20"/>
    <n v="1"/>
    <n v="0"/>
    <s v="236853"/>
    <n v="26"/>
    <m/>
    <x v="1"/>
    <s v="NO"/>
    <x v="1"/>
    <x v="0"/>
  </r>
  <r>
    <n v="1168"/>
    <x v="0"/>
    <x v="1"/>
    <s v="Parker, Mr. Clifford Richard"/>
    <x v="0"/>
    <x v="2"/>
    <n v="28"/>
    <n v="0"/>
    <n v="0"/>
    <s v="Sc 14888"/>
    <n v="10.5"/>
    <m/>
    <x v="1"/>
    <s v="NO"/>
    <x v="0"/>
    <x v="0"/>
  </r>
  <r>
    <n v="1169"/>
    <x v="0"/>
    <x v="1"/>
    <s v="Faunthorpe, Mr. Harry"/>
    <x v="0"/>
    <x v="0"/>
    <n v="40"/>
    <n v="1"/>
    <n v="0"/>
    <s v="2926"/>
    <n v="26"/>
    <m/>
    <x v="1"/>
    <s v="NO"/>
    <x v="1"/>
    <x v="0"/>
  </r>
  <r>
    <n v="1170"/>
    <x v="0"/>
    <x v="1"/>
    <s v="Ware, Mr. John James"/>
    <x v="0"/>
    <x v="0"/>
    <n v="30"/>
    <n v="1"/>
    <n v="0"/>
    <s v="Ca 31352"/>
    <n v="21"/>
    <m/>
    <x v="1"/>
    <s v="NO"/>
    <x v="1"/>
    <x v="0"/>
  </r>
  <r>
    <n v="1171"/>
    <x v="0"/>
    <x v="1"/>
    <s v="Oxenham, Mr. Percy Thomas"/>
    <x v="0"/>
    <x v="2"/>
    <n v="22"/>
    <n v="0"/>
    <n v="0"/>
    <s v="W./C. 14260"/>
    <n v="10.5"/>
    <m/>
    <x v="1"/>
    <s v="NO"/>
    <x v="0"/>
    <x v="0"/>
  </r>
  <r>
    <n v="1172"/>
    <x v="1"/>
    <x v="0"/>
    <s v="Oreskovic, Miss. Jelka"/>
    <x v="1"/>
    <x v="2"/>
    <n v="23"/>
    <n v="0"/>
    <n v="0"/>
    <s v="315085"/>
    <n v="8.6624999999999996"/>
    <m/>
    <x v="1"/>
    <s v="NO"/>
    <x v="0"/>
    <x v="0"/>
  </r>
  <r>
    <n v="1173"/>
    <x v="0"/>
    <x v="0"/>
    <s v="Peacock, Master. Alfred Edward"/>
    <x v="0"/>
    <x v="3"/>
    <n v="0.75"/>
    <n v="1"/>
    <n v="1"/>
    <s v="Soton/O.Q. 3101315"/>
    <n v="13.775"/>
    <m/>
    <x v="1"/>
    <s v="YES"/>
    <x v="1"/>
    <x v="1"/>
  </r>
  <r>
    <n v="1174"/>
    <x v="1"/>
    <x v="0"/>
    <s v="Fleming, Miss. Honora"/>
    <x v="1"/>
    <x v="0"/>
    <n v="30.2"/>
    <n v="0"/>
    <n v="0"/>
    <s v="364859"/>
    <n v="7.75"/>
    <m/>
    <x v="0"/>
    <s v="NO"/>
    <x v="0"/>
    <x v="0"/>
  </r>
  <r>
    <n v="1175"/>
    <x v="1"/>
    <x v="0"/>
    <s v="Touma, Miss. Maria Youssef"/>
    <x v="1"/>
    <x v="3"/>
    <n v="9"/>
    <n v="1"/>
    <n v="1"/>
    <s v="2650"/>
    <n v="15.245799999999999"/>
    <m/>
    <x v="2"/>
    <s v="YES"/>
    <x v="1"/>
    <x v="1"/>
  </r>
  <r>
    <n v="1176"/>
    <x v="1"/>
    <x v="0"/>
    <s v="Rosblom, Miss. Salli Helena"/>
    <x v="1"/>
    <x v="3"/>
    <n v="2"/>
    <n v="1"/>
    <n v="1"/>
    <s v="370129"/>
    <n v="20.212499999999999"/>
    <m/>
    <x v="1"/>
    <s v="YES"/>
    <x v="1"/>
    <x v="1"/>
  </r>
  <r>
    <n v="1177"/>
    <x v="0"/>
    <x v="0"/>
    <s v="Dennis, Mr. William"/>
    <x v="0"/>
    <x v="0"/>
    <n v="36"/>
    <n v="0"/>
    <n v="0"/>
    <s v="A/5 21175"/>
    <n v="7.25"/>
    <m/>
    <x v="1"/>
    <s v="NO"/>
    <x v="0"/>
    <x v="0"/>
  </r>
  <r>
    <n v="1178"/>
    <x v="0"/>
    <x v="0"/>
    <s v="Franklin, Mr. Charles (Charles Fardon)"/>
    <x v="0"/>
    <x v="0"/>
    <n v="30.2"/>
    <n v="0"/>
    <n v="0"/>
    <s v="Soton/O.Q. 3101314"/>
    <n v="7.25"/>
    <m/>
    <x v="1"/>
    <s v="NO"/>
    <x v="0"/>
    <x v="0"/>
  </r>
  <r>
    <n v="1179"/>
    <x v="0"/>
    <x v="2"/>
    <s v="Snyder, Mr. John Pillsbury"/>
    <x v="0"/>
    <x v="2"/>
    <n v="24"/>
    <n v="1"/>
    <n v="0"/>
    <s v="21228"/>
    <n v="82.2667"/>
    <s v="B45"/>
    <x v="1"/>
    <s v="NO"/>
    <x v="1"/>
    <x v="0"/>
  </r>
  <r>
    <n v="1180"/>
    <x v="0"/>
    <x v="0"/>
    <s v="Mardirosian, Mr. Sarkis"/>
    <x v="0"/>
    <x v="0"/>
    <n v="30.2"/>
    <n v="0"/>
    <n v="0"/>
    <s v="2655"/>
    <n v="7.2291999999999996"/>
    <s v="F E46"/>
    <x v="2"/>
    <s v="NO"/>
    <x v="0"/>
    <x v="0"/>
  </r>
  <r>
    <n v="1181"/>
    <x v="0"/>
    <x v="0"/>
    <s v="Ford, Mr. Arthur"/>
    <x v="0"/>
    <x v="0"/>
    <n v="30.2"/>
    <n v="0"/>
    <n v="0"/>
    <s v="A/5 1478"/>
    <n v="8.0500000000000007"/>
    <m/>
    <x v="1"/>
    <s v="NO"/>
    <x v="0"/>
    <x v="0"/>
  </r>
  <r>
    <n v="1182"/>
    <x v="0"/>
    <x v="2"/>
    <s v="Rheims, Mr. George Alexander Lucien"/>
    <x v="0"/>
    <x v="0"/>
    <n v="30.2"/>
    <n v="0"/>
    <n v="0"/>
    <s v="Pc 17607"/>
    <n v="39.6"/>
    <m/>
    <x v="1"/>
    <s v="NO"/>
    <x v="0"/>
    <x v="0"/>
  </r>
  <r>
    <n v="1183"/>
    <x v="1"/>
    <x v="0"/>
    <s v="Daly, Miss. Margaret Marcella Maggie&quot;&quot;"/>
    <x v="1"/>
    <x v="0"/>
    <n v="30"/>
    <n v="0"/>
    <n v="0"/>
    <s v="382650"/>
    <n v="6.95"/>
    <m/>
    <x v="0"/>
    <s v="NO"/>
    <x v="0"/>
    <x v="0"/>
  </r>
  <r>
    <n v="1184"/>
    <x v="0"/>
    <x v="0"/>
    <s v="Nasr, Mr. Mustafa"/>
    <x v="0"/>
    <x v="0"/>
    <n v="30.2"/>
    <n v="0"/>
    <n v="0"/>
    <s v="2652"/>
    <n v="7.2291999999999996"/>
    <m/>
    <x v="2"/>
    <s v="NO"/>
    <x v="0"/>
    <x v="0"/>
  </r>
  <r>
    <n v="1185"/>
    <x v="0"/>
    <x v="2"/>
    <s v="Dodge, Dr. Washington"/>
    <x v="0"/>
    <x v="0"/>
    <n v="53"/>
    <n v="1"/>
    <n v="1"/>
    <s v="33638"/>
    <n v="81.8583"/>
    <s v="A34"/>
    <x v="1"/>
    <s v="NO"/>
    <x v="1"/>
    <x v="1"/>
  </r>
  <r>
    <n v="1186"/>
    <x v="0"/>
    <x v="0"/>
    <s v="Wittevrongel, Mr. Camille"/>
    <x v="0"/>
    <x v="0"/>
    <n v="36"/>
    <n v="0"/>
    <n v="0"/>
    <s v="345771"/>
    <n v="9.5"/>
    <m/>
    <x v="1"/>
    <s v="NO"/>
    <x v="0"/>
    <x v="0"/>
  </r>
  <r>
    <n v="1187"/>
    <x v="0"/>
    <x v="0"/>
    <s v="Angheloff, Mr. Minko"/>
    <x v="0"/>
    <x v="2"/>
    <n v="26"/>
    <n v="0"/>
    <n v="0"/>
    <s v="349202"/>
    <n v="7.8958000000000004"/>
    <m/>
    <x v="1"/>
    <s v="NO"/>
    <x v="0"/>
    <x v="0"/>
  </r>
  <r>
    <n v="1188"/>
    <x v="1"/>
    <x v="1"/>
    <s v="Laroche, Miss. Louise"/>
    <x v="1"/>
    <x v="3"/>
    <n v="1"/>
    <n v="1"/>
    <n v="2"/>
    <s v="Sc/Paris 2123"/>
    <n v="41.5792"/>
    <m/>
    <x v="2"/>
    <s v="YES"/>
    <x v="1"/>
    <x v="1"/>
  </r>
  <r>
    <n v="1189"/>
    <x v="0"/>
    <x v="0"/>
    <s v="Samaan, Mr. Hanna"/>
    <x v="0"/>
    <x v="0"/>
    <n v="30.2"/>
    <n v="2"/>
    <n v="0"/>
    <s v="2662"/>
    <n v="21.679200000000002"/>
    <m/>
    <x v="2"/>
    <s v="NO"/>
    <x v="1"/>
    <x v="0"/>
  </r>
  <r>
    <n v="1190"/>
    <x v="0"/>
    <x v="2"/>
    <s v="Loring, Mr. Joseph Holland"/>
    <x v="0"/>
    <x v="0"/>
    <n v="30"/>
    <n v="0"/>
    <n v="0"/>
    <s v="113801"/>
    <n v="45.5"/>
    <m/>
    <x v="1"/>
    <s v="NO"/>
    <x v="0"/>
    <x v="0"/>
  </r>
  <r>
    <n v="1191"/>
    <x v="0"/>
    <x v="0"/>
    <s v="Johansson, Mr. Nils"/>
    <x v="0"/>
    <x v="2"/>
    <n v="29"/>
    <n v="0"/>
    <n v="0"/>
    <s v="347467"/>
    <n v="7.8541999999999996"/>
    <m/>
    <x v="1"/>
    <s v="NO"/>
    <x v="0"/>
    <x v="0"/>
  </r>
  <r>
    <n v="1192"/>
    <x v="0"/>
    <x v="0"/>
    <s v="Olsson, Mr. Oscar Wilhelm"/>
    <x v="0"/>
    <x v="0"/>
    <n v="32"/>
    <n v="0"/>
    <n v="0"/>
    <s v="347079"/>
    <n v="7.7750000000000004"/>
    <m/>
    <x v="1"/>
    <s v="NO"/>
    <x v="0"/>
    <x v="0"/>
  </r>
  <r>
    <n v="1193"/>
    <x v="0"/>
    <x v="1"/>
    <s v="Malachard, Mr. Noel"/>
    <x v="0"/>
    <x v="0"/>
    <n v="30.2"/>
    <n v="0"/>
    <n v="0"/>
    <s v="237735"/>
    <n v="15.0458"/>
    <s v="D"/>
    <x v="2"/>
    <s v="NO"/>
    <x v="0"/>
    <x v="0"/>
  </r>
  <r>
    <n v="1194"/>
    <x v="0"/>
    <x v="1"/>
    <s v="Phillips, Mr. Escott Robert"/>
    <x v="0"/>
    <x v="0"/>
    <n v="43"/>
    <n v="0"/>
    <n v="1"/>
    <s v="S.O./P.P. 2"/>
    <n v="21"/>
    <m/>
    <x v="1"/>
    <s v="NO"/>
    <x v="0"/>
    <x v="1"/>
  </r>
  <r>
    <n v="1195"/>
    <x v="0"/>
    <x v="0"/>
    <s v="Pokrnic, Mr. Tome"/>
    <x v="0"/>
    <x v="2"/>
    <n v="24"/>
    <n v="0"/>
    <n v="0"/>
    <s v="315092"/>
    <n v="8.6624999999999996"/>
    <m/>
    <x v="1"/>
    <s v="NO"/>
    <x v="0"/>
    <x v="0"/>
  </r>
  <r>
    <n v="1196"/>
    <x v="1"/>
    <x v="0"/>
    <s v="McCarthy, Miss. Catherine Katie&quot;&quot;"/>
    <x v="1"/>
    <x v="0"/>
    <n v="30.2"/>
    <n v="0"/>
    <n v="0"/>
    <s v="383123"/>
    <n v="7.75"/>
    <m/>
    <x v="0"/>
    <s v="NO"/>
    <x v="0"/>
    <x v="0"/>
  </r>
  <r>
    <n v="1197"/>
    <x v="1"/>
    <x v="2"/>
    <s v="Crosby, Mrs. Edward Gifford (Catherine Elizabeth Halstead)"/>
    <x v="1"/>
    <x v="1"/>
    <n v="64"/>
    <n v="1"/>
    <n v="1"/>
    <s v="112901"/>
    <n v="26.55"/>
    <s v="B26"/>
    <x v="1"/>
    <s v="NO"/>
    <x v="1"/>
    <x v="1"/>
  </r>
  <r>
    <n v="1198"/>
    <x v="0"/>
    <x v="2"/>
    <s v="Allison, Mr. Hudson Joshua Creighton"/>
    <x v="0"/>
    <x v="0"/>
    <n v="30"/>
    <n v="1"/>
    <n v="2"/>
    <s v="113781"/>
    <n v="151.55000000000001"/>
    <s v="C22 C26"/>
    <x v="1"/>
    <s v="NO"/>
    <x v="1"/>
    <x v="1"/>
  </r>
  <r>
    <n v="1199"/>
    <x v="0"/>
    <x v="0"/>
    <s v="Aks, Master. Philip Frank"/>
    <x v="0"/>
    <x v="3"/>
    <n v="0.83"/>
    <n v="0"/>
    <n v="1"/>
    <s v="392091"/>
    <n v="9.35"/>
    <m/>
    <x v="1"/>
    <s v="YES"/>
    <x v="0"/>
    <x v="1"/>
  </r>
  <r>
    <n v="1200"/>
    <x v="0"/>
    <x v="2"/>
    <s v="Hays, Mr. Charles Melville"/>
    <x v="0"/>
    <x v="0"/>
    <n v="55"/>
    <n v="1"/>
    <n v="1"/>
    <s v="12749"/>
    <n v="93.5"/>
    <s v="B69"/>
    <x v="1"/>
    <s v="NO"/>
    <x v="1"/>
    <x v="1"/>
  </r>
  <r>
    <n v="1201"/>
    <x v="1"/>
    <x v="0"/>
    <s v="Hansen, Mrs. Claus Peter (Jennie L Howard)"/>
    <x v="1"/>
    <x v="0"/>
    <n v="45"/>
    <n v="1"/>
    <n v="0"/>
    <s v="350026"/>
    <n v="14.1083"/>
    <m/>
    <x v="1"/>
    <s v="NO"/>
    <x v="1"/>
    <x v="0"/>
  </r>
  <r>
    <n v="1202"/>
    <x v="0"/>
    <x v="0"/>
    <s v="Cacic, Mr. Jego Grga"/>
    <x v="0"/>
    <x v="2"/>
    <n v="18"/>
    <n v="0"/>
    <n v="0"/>
    <s v="315091"/>
    <n v="8.6624999999999996"/>
    <m/>
    <x v="1"/>
    <s v="NO"/>
    <x v="0"/>
    <x v="0"/>
  </r>
  <r>
    <n v="1203"/>
    <x v="0"/>
    <x v="0"/>
    <s v="Vartanian, Mr. David"/>
    <x v="0"/>
    <x v="2"/>
    <n v="22"/>
    <n v="0"/>
    <n v="0"/>
    <s v="2658"/>
    <n v="7.2249999999999996"/>
    <m/>
    <x v="2"/>
    <s v="NO"/>
    <x v="0"/>
    <x v="0"/>
  </r>
  <r>
    <n v="1204"/>
    <x v="0"/>
    <x v="0"/>
    <s v="Sadowitz, Mr. Harry"/>
    <x v="0"/>
    <x v="0"/>
    <n v="30.2"/>
    <n v="0"/>
    <n v="0"/>
    <s v="Lp 1588"/>
    <n v="7.5750000000000002"/>
    <m/>
    <x v="1"/>
    <s v="NO"/>
    <x v="0"/>
    <x v="0"/>
  </r>
  <r>
    <n v="1205"/>
    <x v="1"/>
    <x v="0"/>
    <s v="Carr, Miss. Jeannie"/>
    <x v="1"/>
    <x v="0"/>
    <n v="37"/>
    <n v="0"/>
    <n v="0"/>
    <s v="368364"/>
    <n v="7.75"/>
    <m/>
    <x v="0"/>
    <s v="NO"/>
    <x v="0"/>
    <x v="0"/>
  </r>
  <r>
    <n v="1206"/>
    <x v="1"/>
    <x v="2"/>
    <s v="White, Mrs. John Stuart (Ella Holmes)"/>
    <x v="1"/>
    <x v="0"/>
    <n v="55"/>
    <n v="0"/>
    <n v="0"/>
    <s v="Pc 17760"/>
    <n v="135.63329999999999"/>
    <s v="C32"/>
    <x v="2"/>
    <s v="NO"/>
    <x v="0"/>
    <x v="0"/>
  </r>
  <r>
    <n v="1207"/>
    <x v="1"/>
    <x v="0"/>
    <s v="Hagardon, Miss. Kate"/>
    <x v="1"/>
    <x v="3"/>
    <n v="17"/>
    <n v="0"/>
    <n v="0"/>
    <s v="Aq/3. 30631"/>
    <n v="7.7332999999999998"/>
    <m/>
    <x v="0"/>
    <s v="YES"/>
    <x v="0"/>
    <x v="0"/>
  </r>
  <r>
    <n v="1208"/>
    <x v="0"/>
    <x v="2"/>
    <s v="Spencer, Mr. William Augustus"/>
    <x v="0"/>
    <x v="0"/>
    <n v="57"/>
    <n v="1"/>
    <n v="0"/>
    <s v="Pc 17569"/>
    <n v="146.52080000000001"/>
    <s v="B78"/>
    <x v="2"/>
    <s v="NO"/>
    <x v="1"/>
    <x v="0"/>
  </r>
  <r>
    <n v="1209"/>
    <x v="0"/>
    <x v="1"/>
    <s v="Rogers, Mr. Reginald Harry"/>
    <x v="0"/>
    <x v="2"/>
    <n v="19"/>
    <n v="0"/>
    <n v="0"/>
    <s v="28004"/>
    <n v="10.5"/>
    <m/>
    <x v="1"/>
    <s v="NO"/>
    <x v="0"/>
    <x v="0"/>
  </r>
  <r>
    <n v="1210"/>
    <x v="0"/>
    <x v="0"/>
    <s v="Jonsson, Mr. Nils Hilding"/>
    <x v="0"/>
    <x v="2"/>
    <n v="27"/>
    <n v="0"/>
    <n v="0"/>
    <s v="350408"/>
    <n v="7.8541999999999996"/>
    <m/>
    <x v="1"/>
    <s v="NO"/>
    <x v="0"/>
    <x v="0"/>
  </r>
  <r>
    <n v="1211"/>
    <x v="0"/>
    <x v="1"/>
    <s v="Jefferys, Mr. Ernest Wilfred"/>
    <x v="0"/>
    <x v="2"/>
    <n v="22"/>
    <n v="2"/>
    <n v="0"/>
    <s v="C.A. 31029"/>
    <n v="31.5"/>
    <m/>
    <x v="1"/>
    <s v="NO"/>
    <x v="1"/>
    <x v="0"/>
  </r>
  <r>
    <n v="1212"/>
    <x v="0"/>
    <x v="0"/>
    <s v="Andersson, Mr. Johan Samuel"/>
    <x v="0"/>
    <x v="2"/>
    <n v="26"/>
    <n v="0"/>
    <n v="0"/>
    <s v="347075"/>
    <n v="7.7750000000000004"/>
    <m/>
    <x v="1"/>
    <s v="NO"/>
    <x v="0"/>
    <x v="0"/>
  </r>
  <r>
    <n v="1213"/>
    <x v="0"/>
    <x v="0"/>
    <s v="Krekorian, Mr. Neshan"/>
    <x v="0"/>
    <x v="2"/>
    <n v="25"/>
    <n v="0"/>
    <n v="0"/>
    <s v="2654"/>
    <n v="7.2291999999999996"/>
    <s v="F E57"/>
    <x v="2"/>
    <s v="NO"/>
    <x v="0"/>
    <x v="0"/>
  </r>
  <r>
    <n v="1214"/>
    <x v="0"/>
    <x v="1"/>
    <s v="Nesson, Mr. Israel"/>
    <x v="0"/>
    <x v="2"/>
    <n v="26"/>
    <n v="0"/>
    <n v="0"/>
    <s v="244368"/>
    <n v="13"/>
    <s v="F2"/>
    <x v="1"/>
    <s v="NO"/>
    <x v="0"/>
    <x v="0"/>
  </r>
  <r>
    <n v="1215"/>
    <x v="0"/>
    <x v="2"/>
    <s v="Rowe, Mr. Alfred G"/>
    <x v="0"/>
    <x v="0"/>
    <n v="33"/>
    <n v="0"/>
    <n v="0"/>
    <s v="113790"/>
    <n v="26.55"/>
    <m/>
    <x v="1"/>
    <s v="NO"/>
    <x v="0"/>
    <x v="0"/>
  </r>
  <r>
    <n v="1216"/>
    <x v="1"/>
    <x v="2"/>
    <s v="Kreuchen, Miss. Emilie"/>
    <x v="1"/>
    <x v="0"/>
    <n v="39"/>
    <n v="0"/>
    <n v="0"/>
    <s v="24160"/>
    <n v="211.33750000000001"/>
    <m/>
    <x v="1"/>
    <s v="NO"/>
    <x v="0"/>
    <x v="0"/>
  </r>
  <r>
    <n v="1217"/>
    <x v="0"/>
    <x v="0"/>
    <s v="Assam, Mr. Ali"/>
    <x v="0"/>
    <x v="2"/>
    <n v="23"/>
    <n v="0"/>
    <n v="0"/>
    <s v="Soton/O.Q. 3101309"/>
    <n v="7.05"/>
    <m/>
    <x v="1"/>
    <s v="NO"/>
    <x v="0"/>
    <x v="0"/>
  </r>
  <r>
    <n v="1218"/>
    <x v="1"/>
    <x v="1"/>
    <s v="Becker, Miss. Ruth Elizabeth"/>
    <x v="1"/>
    <x v="3"/>
    <n v="12"/>
    <n v="2"/>
    <n v="1"/>
    <s v="230136"/>
    <n v="39"/>
    <s v="F4"/>
    <x v="1"/>
    <s v="YES"/>
    <x v="1"/>
    <x v="1"/>
  </r>
  <r>
    <n v="1219"/>
    <x v="0"/>
    <x v="2"/>
    <s v="Rosenshine, Mr. George (Mr George Thorne&quot;)&quot;"/>
    <x v="0"/>
    <x v="0"/>
    <n v="46"/>
    <n v="0"/>
    <n v="0"/>
    <s v="Pc 17585"/>
    <n v="79.2"/>
    <m/>
    <x v="2"/>
    <s v="NO"/>
    <x v="0"/>
    <x v="0"/>
  </r>
  <r>
    <n v="1220"/>
    <x v="0"/>
    <x v="1"/>
    <s v="Clarke, Mr. Charles Valentine"/>
    <x v="0"/>
    <x v="2"/>
    <n v="29"/>
    <n v="1"/>
    <n v="0"/>
    <s v="2003"/>
    <n v="26"/>
    <m/>
    <x v="1"/>
    <s v="NO"/>
    <x v="1"/>
    <x v="0"/>
  </r>
  <r>
    <n v="1221"/>
    <x v="0"/>
    <x v="1"/>
    <s v="Enander, Mr. Ingvar"/>
    <x v="0"/>
    <x v="2"/>
    <n v="21"/>
    <n v="0"/>
    <n v="0"/>
    <s v="236854"/>
    <n v="13"/>
    <m/>
    <x v="1"/>
    <s v="NO"/>
    <x v="0"/>
    <x v="0"/>
  </r>
  <r>
    <n v="1222"/>
    <x v="1"/>
    <x v="1"/>
    <s v="Davies, Mrs. John Morgan (Elizabeth Agnes Mary White) "/>
    <x v="1"/>
    <x v="0"/>
    <n v="48"/>
    <n v="0"/>
    <n v="2"/>
    <s v="C.A. 33112"/>
    <n v="36.75"/>
    <m/>
    <x v="1"/>
    <s v="NO"/>
    <x v="0"/>
    <x v="1"/>
  </r>
  <r>
    <n v="1223"/>
    <x v="0"/>
    <x v="2"/>
    <s v="Dulles, Mr. William Crothers"/>
    <x v="0"/>
    <x v="0"/>
    <n v="39"/>
    <n v="0"/>
    <n v="0"/>
    <s v="Pc 17580"/>
    <n v="29.7"/>
    <s v="A18"/>
    <x v="2"/>
    <s v="NO"/>
    <x v="0"/>
    <x v="0"/>
  </r>
  <r>
    <n v="1224"/>
    <x v="0"/>
    <x v="0"/>
    <s v="Thomas, Mr. Tannous"/>
    <x v="0"/>
    <x v="0"/>
    <n v="30.2"/>
    <n v="0"/>
    <n v="0"/>
    <s v="2684"/>
    <n v="7.2249999999999996"/>
    <m/>
    <x v="2"/>
    <s v="NO"/>
    <x v="0"/>
    <x v="0"/>
  </r>
  <r>
    <n v="1225"/>
    <x v="1"/>
    <x v="0"/>
    <s v="Nakid, Mrs. Said (Waika Mary&quot; Mowad)&quot;"/>
    <x v="1"/>
    <x v="2"/>
    <n v="19"/>
    <n v="1"/>
    <n v="1"/>
    <s v="2653"/>
    <n v="15.7417"/>
    <m/>
    <x v="2"/>
    <s v="NO"/>
    <x v="1"/>
    <x v="1"/>
  </r>
  <r>
    <n v="1226"/>
    <x v="0"/>
    <x v="0"/>
    <s v="Cor, Mr. Ivan"/>
    <x v="0"/>
    <x v="2"/>
    <n v="27"/>
    <n v="0"/>
    <n v="0"/>
    <s v="349229"/>
    <n v="7.8958000000000004"/>
    <m/>
    <x v="1"/>
    <s v="NO"/>
    <x v="0"/>
    <x v="0"/>
  </r>
  <r>
    <n v="1227"/>
    <x v="0"/>
    <x v="2"/>
    <s v="Maguire, Mr. John Edward"/>
    <x v="0"/>
    <x v="0"/>
    <n v="30"/>
    <n v="0"/>
    <n v="0"/>
    <s v="110469"/>
    <n v="26"/>
    <s v="C106"/>
    <x v="1"/>
    <s v="NO"/>
    <x v="0"/>
    <x v="0"/>
  </r>
  <r>
    <n v="1228"/>
    <x v="0"/>
    <x v="1"/>
    <s v="de Brito, Mr. Jose Joaquim"/>
    <x v="0"/>
    <x v="0"/>
    <n v="32"/>
    <n v="0"/>
    <n v="0"/>
    <s v="244360"/>
    <n v="13"/>
    <m/>
    <x v="1"/>
    <s v="NO"/>
    <x v="0"/>
    <x v="0"/>
  </r>
  <r>
    <n v="1229"/>
    <x v="0"/>
    <x v="0"/>
    <s v="Elias, Mr. Joseph"/>
    <x v="0"/>
    <x v="0"/>
    <n v="39"/>
    <n v="0"/>
    <n v="2"/>
    <s v="2675"/>
    <n v="7.2291999999999996"/>
    <m/>
    <x v="2"/>
    <s v="NO"/>
    <x v="0"/>
    <x v="1"/>
  </r>
  <r>
    <n v="1230"/>
    <x v="0"/>
    <x v="1"/>
    <s v="Denbury, Mr. Herbert"/>
    <x v="0"/>
    <x v="2"/>
    <n v="25"/>
    <n v="0"/>
    <n v="0"/>
    <s v="C.A. 31029"/>
    <n v="31.5"/>
    <m/>
    <x v="1"/>
    <s v="NO"/>
    <x v="0"/>
    <x v="0"/>
  </r>
  <r>
    <n v="1231"/>
    <x v="0"/>
    <x v="0"/>
    <s v="Betros, Master. Seman"/>
    <x v="0"/>
    <x v="0"/>
    <n v="30.2"/>
    <n v="0"/>
    <n v="0"/>
    <s v="2622"/>
    <n v="7.2291999999999996"/>
    <m/>
    <x v="2"/>
    <s v="NO"/>
    <x v="0"/>
    <x v="0"/>
  </r>
  <r>
    <n v="1232"/>
    <x v="0"/>
    <x v="1"/>
    <s v="Fillbrook, Mr. Joseph Charles"/>
    <x v="0"/>
    <x v="2"/>
    <n v="18"/>
    <n v="0"/>
    <n v="0"/>
    <s v="C.A. 15185"/>
    <n v="10.5"/>
    <m/>
    <x v="1"/>
    <s v="NO"/>
    <x v="0"/>
    <x v="0"/>
  </r>
  <r>
    <n v="1233"/>
    <x v="0"/>
    <x v="0"/>
    <s v="Lundstrom, Mr. Thure Edvin"/>
    <x v="0"/>
    <x v="0"/>
    <n v="32"/>
    <n v="0"/>
    <n v="0"/>
    <s v="350403"/>
    <n v="7.5792000000000002"/>
    <m/>
    <x v="1"/>
    <s v="NO"/>
    <x v="0"/>
    <x v="0"/>
  </r>
  <r>
    <n v="1234"/>
    <x v="0"/>
    <x v="0"/>
    <s v="Sage, Mr. John George"/>
    <x v="0"/>
    <x v="0"/>
    <n v="30.2"/>
    <n v="1"/>
    <n v="9"/>
    <s v="Ca. 2343"/>
    <n v="69.55"/>
    <m/>
    <x v="1"/>
    <s v="NO"/>
    <x v="1"/>
    <x v="1"/>
  </r>
  <r>
    <n v="1235"/>
    <x v="1"/>
    <x v="2"/>
    <s v="Cardeza, Mrs. James Warburton Martinez (Charlotte Wardle Drake)"/>
    <x v="1"/>
    <x v="0"/>
    <n v="58"/>
    <n v="0"/>
    <n v="1"/>
    <s v="Pc 17755"/>
    <n v="512.32920000000001"/>
    <s v="B51 B53 B55"/>
    <x v="2"/>
    <s v="NO"/>
    <x v="0"/>
    <x v="1"/>
  </r>
  <r>
    <n v="1236"/>
    <x v="0"/>
    <x v="0"/>
    <s v="van Billiard, Master. James William"/>
    <x v="0"/>
    <x v="0"/>
    <n v="30.2"/>
    <n v="1"/>
    <n v="1"/>
    <s v="A/5. 851"/>
    <n v="14.5"/>
    <m/>
    <x v="1"/>
    <s v="NO"/>
    <x v="1"/>
    <x v="1"/>
  </r>
  <r>
    <n v="1237"/>
    <x v="1"/>
    <x v="0"/>
    <s v="Abelseth, Miss. Karen Marie"/>
    <x v="1"/>
    <x v="3"/>
    <n v="16"/>
    <n v="0"/>
    <n v="0"/>
    <s v="348125"/>
    <n v="7.65"/>
    <m/>
    <x v="1"/>
    <s v="YES"/>
    <x v="0"/>
    <x v="0"/>
  </r>
  <r>
    <n v="1238"/>
    <x v="0"/>
    <x v="1"/>
    <s v="Botsford, Mr. William Hull"/>
    <x v="0"/>
    <x v="2"/>
    <n v="26"/>
    <n v="0"/>
    <n v="0"/>
    <s v="237670"/>
    <n v="13"/>
    <m/>
    <x v="1"/>
    <s v="NO"/>
    <x v="0"/>
    <x v="0"/>
  </r>
  <r>
    <n v="1239"/>
    <x v="1"/>
    <x v="0"/>
    <s v="Whabee, Mrs. George Joseph (Shawneene Abi-Saab)"/>
    <x v="1"/>
    <x v="0"/>
    <n v="38"/>
    <n v="0"/>
    <n v="0"/>
    <s v="2688"/>
    <n v="7.2291999999999996"/>
    <m/>
    <x v="2"/>
    <s v="NO"/>
    <x v="0"/>
    <x v="0"/>
  </r>
  <r>
    <n v="1240"/>
    <x v="0"/>
    <x v="1"/>
    <s v="Giles, Mr. Ralph"/>
    <x v="0"/>
    <x v="2"/>
    <n v="24"/>
    <n v="0"/>
    <n v="0"/>
    <s v="248726"/>
    <n v="13.5"/>
    <m/>
    <x v="1"/>
    <s v="NO"/>
    <x v="0"/>
    <x v="0"/>
  </r>
  <r>
    <n v="1241"/>
    <x v="1"/>
    <x v="1"/>
    <s v="Walcroft, Miss. Nellie"/>
    <x v="1"/>
    <x v="0"/>
    <n v="31"/>
    <n v="0"/>
    <n v="0"/>
    <s v="F.C.C. 13528"/>
    <n v="21"/>
    <m/>
    <x v="1"/>
    <s v="NO"/>
    <x v="0"/>
    <x v="0"/>
  </r>
  <r>
    <n v="1242"/>
    <x v="1"/>
    <x v="2"/>
    <s v="Greenfield, Mrs. Leo David (Blanche Strouse)"/>
    <x v="1"/>
    <x v="0"/>
    <n v="45"/>
    <n v="0"/>
    <n v="1"/>
    <s v="Pc 17759"/>
    <n v="63.3583"/>
    <s v="D10 D12"/>
    <x v="2"/>
    <s v="NO"/>
    <x v="0"/>
    <x v="1"/>
  </r>
  <r>
    <n v="1243"/>
    <x v="0"/>
    <x v="1"/>
    <s v="Stokes, Mr. Philip Joseph"/>
    <x v="0"/>
    <x v="2"/>
    <n v="25"/>
    <n v="0"/>
    <n v="0"/>
    <s v="F.C.C. 13540"/>
    <n v="10.5"/>
    <m/>
    <x v="1"/>
    <s v="NO"/>
    <x v="0"/>
    <x v="0"/>
  </r>
  <r>
    <n v="1244"/>
    <x v="0"/>
    <x v="1"/>
    <s v="Dibden, Mr. William"/>
    <x v="0"/>
    <x v="2"/>
    <n v="18"/>
    <n v="0"/>
    <n v="0"/>
    <s v="S.O.C. 14879"/>
    <n v="73.5"/>
    <m/>
    <x v="1"/>
    <s v="NO"/>
    <x v="0"/>
    <x v="0"/>
  </r>
  <r>
    <n v="1245"/>
    <x v="0"/>
    <x v="1"/>
    <s v="Herman, Mr. Samuel"/>
    <x v="0"/>
    <x v="0"/>
    <n v="49"/>
    <n v="1"/>
    <n v="2"/>
    <s v="220845"/>
    <n v="65"/>
    <m/>
    <x v="1"/>
    <s v="NO"/>
    <x v="1"/>
    <x v="1"/>
  </r>
  <r>
    <n v="1246"/>
    <x v="1"/>
    <x v="0"/>
    <s v="Dean, Miss. Elizabeth Gladys Millvina&quot;&quot;"/>
    <x v="1"/>
    <x v="3"/>
    <n v="0.17"/>
    <n v="1"/>
    <n v="2"/>
    <s v="C.A. 2315"/>
    <n v="20.574999999999999"/>
    <m/>
    <x v="1"/>
    <s v="YES"/>
    <x v="1"/>
    <x v="1"/>
  </r>
  <r>
    <n v="1247"/>
    <x v="0"/>
    <x v="2"/>
    <s v="Julian, Mr. Henry Forbes"/>
    <x v="0"/>
    <x v="0"/>
    <n v="50"/>
    <n v="0"/>
    <n v="0"/>
    <s v="113044"/>
    <n v="26"/>
    <s v="E60"/>
    <x v="1"/>
    <s v="NO"/>
    <x v="0"/>
    <x v="0"/>
  </r>
  <r>
    <n v="1248"/>
    <x v="1"/>
    <x v="2"/>
    <s v="Brown, Mrs. John Murray (Caroline Lane Lamson)"/>
    <x v="1"/>
    <x v="0"/>
    <n v="59"/>
    <n v="2"/>
    <n v="0"/>
    <s v="11769"/>
    <n v="51.479199999999999"/>
    <s v="C101"/>
    <x v="1"/>
    <s v="NO"/>
    <x v="1"/>
    <x v="0"/>
  </r>
  <r>
    <n v="1249"/>
    <x v="0"/>
    <x v="0"/>
    <s v="Lockyer, Mr. Edward"/>
    <x v="0"/>
    <x v="0"/>
    <n v="30.2"/>
    <n v="0"/>
    <n v="0"/>
    <s v="1222"/>
    <n v="7.8792"/>
    <m/>
    <x v="1"/>
    <s v="NO"/>
    <x v="0"/>
    <x v="0"/>
  </r>
  <r>
    <n v="1250"/>
    <x v="0"/>
    <x v="0"/>
    <s v="O'Keefe, Mr. Patrick"/>
    <x v="0"/>
    <x v="0"/>
    <n v="30.2"/>
    <n v="0"/>
    <n v="0"/>
    <s v="368402"/>
    <n v="7.75"/>
    <m/>
    <x v="0"/>
    <s v="NO"/>
    <x v="0"/>
    <x v="0"/>
  </r>
  <r>
    <n v="1251"/>
    <x v="1"/>
    <x v="0"/>
    <s v="Lindell, Mrs. Edvard Bengtsson (Elin Gerda Persson)"/>
    <x v="1"/>
    <x v="0"/>
    <n v="30"/>
    <n v="1"/>
    <n v="0"/>
    <s v="349910"/>
    <n v="15.55"/>
    <m/>
    <x v="1"/>
    <s v="NO"/>
    <x v="1"/>
    <x v="0"/>
  </r>
  <r>
    <n v="1252"/>
    <x v="0"/>
    <x v="0"/>
    <s v="Sage, Master. William Henry"/>
    <x v="0"/>
    <x v="3"/>
    <n v="14.5"/>
    <n v="8"/>
    <n v="2"/>
    <s v="Ca. 2343"/>
    <n v="69.55"/>
    <m/>
    <x v="1"/>
    <s v="YES"/>
    <x v="1"/>
    <x v="1"/>
  </r>
  <r>
    <n v="1253"/>
    <x v="1"/>
    <x v="1"/>
    <s v="Mallet, Mrs. Albert (Antoinette Magnin)"/>
    <x v="1"/>
    <x v="2"/>
    <n v="24"/>
    <n v="1"/>
    <n v="1"/>
    <s v="S.C./Paris 2079"/>
    <n v="37.004199999999997"/>
    <m/>
    <x v="2"/>
    <s v="NO"/>
    <x v="1"/>
    <x v="1"/>
  </r>
  <r>
    <n v="1254"/>
    <x v="1"/>
    <x v="1"/>
    <s v="Ware, Mrs. John James (Florence Louise Long)"/>
    <x v="1"/>
    <x v="0"/>
    <n v="31"/>
    <n v="0"/>
    <n v="0"/>
    <s v="Ca 31352"/>
    <n v="21"/>
    <m/>
    <x v="1"/>
    <s v="NO"/>
    <x v="0"/>
    <x v="0"/>
  </r>
  <r>
    <n v="1255"/>
    <x v="0"/>
    <x v="0"/>
    <s v="Strilic, Mr. Ivan"/>
    <x v="0"/>
    <x v="2"/>
    <n v="27"/>
    <n v="0"/>
    <n v="0"/>
    <s v="315083"/>
    <n v="8.6624999999999996"/>
    <m/>
    <x v="1"/>
    <s v="NO"/>
    <x v="0"/>
    <x v="0"/>
  </r>
  <r>
    <n v="1256"/>
    <x v="1"/>
    <x v="2"/>
    <s v="Harder, Mrs. George Achilles (Dorothy Annan)"/>
    <x v="1"/>
    <x v="2"/>
    <n v="25"/>
    <n v="1"/>
    <n v="0"/>
    <s v="11765"/>
    <n v="55.441699999999997"/>
    <s v="E50"/>
    <x v="2"/>
    <s v="NO"/>
    <x v="1"/>
    <x v="0"/>
  </r>
  <r>
    <n v="1257"/>
    <x v="1"/>
    <x v="0"/>
    <s v="Sage, Mrs. John (Annie Bullen)"/>
    <x v="1"/>
    <x v="0"/>
    <n v="30.2"/>
    <n v="1"/>
    <n v="9"/>
    <s v="Ca. 2343"/>
    <n v="69.55"/>
    <m/>
    <x v="1"/>
    <s v="NO"/>
    <x v="1"/>
    <x v="1"/>
  </r>
  <r>
    <n v="1258"/>
    <x v="0"/>
    <x v="0"/>
    <s v="Caram, Mr. Joseph"/>
    <x v="0"/>
    <x v="0"/>
    <n v="30.2"/>
    <n v="1"/>
    <n v="0"/>
    <s v="2689"/>
    <n v="14.458299999999999"/>
    <m/>
    <x v="2"/>
    <s v="NO"/>
    <x v="1"/>
    <x v="0"/>
  </r>
  <r>
    <n v="1259"/>
    <x v="1"/>
    <x v="0"/>
    <s v="Riihivouri, Miss. Susanna Juhantytar Sanni&quot;&quot;"/>
    <x v="1"/>
    <x v="2"/>
    <n v="22"/>
    <n v="0"/>
    <n v="0"/>
    <s v="3101295"/>
    <n v="39.6875"/>
    <m/>
    <x v="1"/>
    <s v="NO"/>
    <x v="0"/>
    <x v="0"/>
  </r>
  <r>
    <n v="1260"/>
    <x v="1"/>
    <x v="2"/>
    <s v="Gibson, Mrs. Leonard (Pauline C Boeson)"/>
    <x v="1"/>
    <x v="0"/>
    <n v="45"/>
    <n v="0"/>
    <n v="1"/>
    <s v="112378"/>
    <n v="59.4"/>
    <m/>
    <x v="2"/>
    <s v="NO"/>
    <x v="0"/>
    <x v="1"/>
  </r>
  <r>
    <n v="1261"/>
    <x v="0"/>
    <x v="1"/>
    <s v="Pallas y Castello, Mr. Emilio"/>
    <x v="0"/>
    <x v="2"/>
    <n v="29"/>
    <n v="0"/>
    <n v="0"/>
    <s v="Sc/Paris 2147"/>
    <n v="13.8583"/>
    <m/>
    <x v="2"/>
    <s v="NO"/>
    <x v="0"/>
    <x v="0"/>
  </r>
  <r>
    <n v="1262"/>
    <x v="0"/>
    <x v="1"/>
    <s v="Giles, Mr. Edgar"/>
    <x v="0"/>
    <x v="2"/>
    <n v="21"/>
    <n v="1"/>
    <n v="0"/>
    <s v="28133"/>
    <n v="11.5"/>
    <m/>
    <x v="1"/>
    <s v="NO"/>
    <x v="1"/>
    <x v="0"/>
  </r>
  <r>
    <n v="1263"/>
    <x v="1"/>
    <x v="2"/>
    <s v="Wilson, Miss. Helen Alice"/>
    <x v="1"/>
    <x v="0"/>
    <n v="31"/>
    <n v="0"/>
    <n v="0"/>
    <s v="16966"/>
    <n v="134.5"/>
    <s v="E39 E41"/>
    <x v="2"/>
    <s v="NO"/>
    <x v="0"/>
    <x v="0"/>
  </r>
  <r>
    <n v="1264"/>
    <x v="0"/>
    <x v="2"/>
    <s v="Ismay, Mr. Joseph Bruce"/>
    <x v="0"/>
    <x v="0"/>
    <n v="49"/>
    <n v="0"/>
    <n v="0"/>
    <s v="112058"/>
    <n v="0"/>
    <s v="B52 B54 B56"/>
    <x v="1"/>
    <s v="NO"/>
    <x v="0"/>
    <x v="0"/>
  </r>
  <r>
    <n v="1265"/>
    <x v="0"/>
    <x v="1"/>
    <s v="Harbeck, Mr. William H"/>
    <x v="0"/>
    <x v="0"/>
    <n v="44"/>
    <n v="0"/>
    <n v="0"/>
    <s v="248746"/>
    <n v="13"/>
    <m/>
    <x v="1"/>
    <s v="NO"/>
    <x v="0"/>
    <x v="0"/>
  </r>
  <r>
    <n v="1266"/>
    <x v="1"/>
    <x v="2"/>
    <s v="Dodge, Mrs. Washington (Ruth Vidaver)"/>
    <x v="1"/>
    <x v="0"/>
    <n v="54"/>
    <n v="1"/>
    <n v="1"/>
    <s v="33638"/>
    <n v="81.8583"/>
    <s v="A34"/>
    <x v="1"/>
    <s v="NO"/>
    <x v="1"/>
    <x v="1"/>
  </r>
  <r>
    <n v="1267"/>
    <x v="1"/>
    <x v="2"/>
    <s v="Bowen, Miss. Grace Scott"/>
    <x v="1"/>
    <x v="0"/>
    <n v="45"/>
    <n v="0"/>
    <n v="0"/>
    <s v="Pc 17608"/>
    <n v="262.375"/>
    <m/>
    <x v="2"/>
    <s v="NO"/>
    <x v="0"/>
    <x v="0"/>
  </r>
  <r>
    <n v="1268"/>
    <x v="1"/>
    <x v="0"/>
    <s v="Kink, Miss. Maria"/>
    <x v="1"/>
    <x v="2"/>
    <n v="22"/>
    <n v="2"/>
    <n v="0"/>
    <s v="315152"/>
    <n v="8.6624999999999996"/>
    <m/>
    <x v="1"/>
    <s v="NO"/>
    <x v="1"/>
    <x v="0"/>
  </r>
  <r>
    <n v="1269"/>
    <x v="0"/>
    <x v="1"/>
    <s v="Cotterill, Mr. Henry Harry&quot;&quot;"/>
    <x v="0"/>
    <x v="2"/>
    <n v="21"/>
    <n v="0"/>
    <n v="0"/>
    <s v="29107"/>
    <n v="11.5"/>
    <m/>
    <x v="1"/>
    <s v="NO"/>
    <x v="0"/>
    <x v="0"/>
  </r>
  <r>
    <n v="1270"/>
    <x v="0"/>
    <x v="2"/>
    <s v="Hipkins, Mr. William Edward"/>
    <x v="0"/>
    <x v="0"/>
    <n v="55"/>
    <n v="0"/>
    <n v="0"/>
    <s v="680"/>
    <n v="50"/>
    <s v="C39"/>
    <x v="1"/>
    <s v="NO"/>
    <x v="0"/>
    <x v="0"/>
  </r>
  <r>
    <n v="1271"/>
    <x v="0"/>
    <x v="0"/>
    <s v="Asplund, Master. Carl Edgar"/>
    <x v="0"/>
    <x v="3"/>
    <n v="5"/>
    <n v="4"/>
    <n v="2"/>
    <s v="347077"/>
    <n v="31.387499999999999"/>
    <m/>
    <x v="1"/>
    <s v="YES"/>
    <x v="1"/>
    <x v="1"/>
  </r>
  <r>
    <n v="1272"/>
    <x v="0"/>
    <x v="0"/>
    <s v="O'Connor, Mr. Patrick"/>
    <x v="0"/>
    <x v="0"/>
    <n v="30.2"/>
    <n v="0"/>
    <n v="0"/>
    <s v="366713"/>
    <n v="7.75"/>
    <m/>
    <x v="0"/>
    <s v="NO"/>
    <x v="0"/>
    <x v="0"/>
  </r>
  <r>
    <n v="1273"/>
    <x v="0"/>
    <x v="0"/>
    <s v="Foley, Mr. Joseph"/>
    <x v="0"/>
    <x v="2"/>
    <n v="26"/>
    <n v="0"/>
    <n v="0"/>
    <s v="330910"/>
    <n v="7.8792"/>
    <m/>
    <x v="0"/>
    <s v="NO"/>
    <x v="0"/>
    <x v="0"/>
  </r>
  <r>
    <n v="1274"/>
    <x v="1"/>
    <x v="0"/>
    <s v="Risien, Mrs. Samuel (Emma)"/>
    <x v="1"/>
    <x v="0"/>
    <n v="30.2"/>
    <n v="0"/>
    <n v="0"/>
    <s v="364498"/>
    <n v="14.5"/>
    <m/>
    <x v="1"/>
    <s v="NO"/>
    <x v="0"/>
    <x v="0"/>
  </r>
  <r>
    <n v="1275"/>
    <x v="1"/>
    <x v="0"/>
    <s v="McNamee, Mrs. Neal (Eileen O'Leary)"/>
    <x v="1"/>
    <x v="2"/>
    <n v="19"/>
    <n v="1"/>
    <n v="0"/>
    <s v="376566"/>
    <n v="16.100000000000001"/>
    <m/>
    <x v="1"/>
    <s v="NO"/>
    <x v="1"/>
    <x v="0"/>
  </r>
  <r>
    <n v="1276"/>
    <x v="0"/>
    <x v="1"/>
    <s v="Wheeler, Mr. Edwin Frederick&quot;&quot;"/>
    <x v="0"/>
    <x v="0"/>
    <n v="30.2"/>
    <n v="0"/>
    <n v="0"/>
    <s v="Sc/Paris 2159"/>
    <n v="12.875"/>
    <m/>
    <x v="1"/>
    <s v="NO"/>
    <x v="0"/>
    <x v="0"/>
  </r>
  <r>
    <n v="1277"/>
    <x v="1"/>
    <x v="1"/>
    <s v="Herman, Miss. Kate"/>
    <x v="1"/>
    <x v="2"/>
    <n v="24"/>
    <n v="1"/>
    <n v="2"/>
    <s v="220845"/>
    <n v="65"/>
    <m/>
    <x v="1"/>
    <s v="NO"/>
    <x v="1"/>
    <x v="1"/>
  </r>
  <r>
    <n v="1278"/>
    <x v="0"/>
    <x v="0"/>
    <s v="Aronsson, Mr. Ernst Axel Algot"/>
    <x v="0"/>
    <x v="2"/>
    <n v="24"/>
    <n v="0"/>
    <n v="0"/>
    <s v="349911"/>
    <n v="7.7750000000000004"/>
    <m/>
    <x v="1"/>
    <s v="NO"/>
    <x v="0"/>
    <x v="0"/>
  </r>
  <r>
    <n v="1279"/>
    <x v="0"/>
    <x v="1"/>
    <s v="Ashby, Mr. John"/>
    <x v="0"/>
    <x v="0"/>
    <n v="57"/>
    <n v="0"/>
    <n v="0"/>
    <s v="244346"/>
    <n v="13"/>
    <m/>
    <x v="1"/>
    <s v="NO"/>
    <x v="0"/>
    <x v="0"/>
  </r>
  <r>
    <n v="1280"/>
    <x v="0"/>
    <x v="0"/>
    <s v="Canavan, Mr. Patrick"/>
    <x v="0"/>
    <x v="2"/>
    <n v="21"/>
    <n v="0"/>
    <n v="0"/>
    <s v="364858"/>
    <n v="7.75"/>
    <m/>
    <x v="0"/>
    <s v="NO"/>
    <x v="0"/>
    <x v="0"/>
  </r>
  <r>
    <n v="1281"/>
    <x v="0"/>
    <x v="0"/>
    <s v="Palsson, Master. Paul Folke"/>
    <x v="0"/>
    <x v="3"/>
    <n v="6"/>
    <n v="3"/>
    <n v="1"/>
    <s v="349909"/>
    <n v="21.074999999999999"/>
    <m/>
    <x v="1"/>
    <s v="YES"/>
    <x v="1"/>
    <x v="1"/>
  </r>
  <r>
    <n v="1282"/>
    <x v="0"/>
    <x v="2"/>
    <s v="Payne, Mr. Vivian Ponsonby"/>
    <x v="0"/>
    <x v="2"/>
    <n v="23"/>
    <n v="0"/>
    <n v="0"/>
    <s v="12749"/>
    <n v="93.5"/>
    <s v="B24"/>
    <x v="1"/>
    <s v="NO"/>
    <x v="0"/>
    <x v="0"/>
  </r>
  <r>
    <n v="1283"/>
    <x v="1"/>
    <x v="2"/>
    <s v="Lines, Mrs. Ernest H (Elizabeth Lindsey James)"/>
    <x v="1"/>
    <x v="0"/>
    <n v="51"/>
    <n v="0"/>
    <n v="1"/>
    <s v="Pc 17592"/>
    <n v="39.4"/>
    <s v="D28"/>
    <x v="1"/>
    <s v="NO"/>
    <x v="0"/>
    <x v="1"/>
  </r>
  <r>
    <n v="1284"/>
    <x v="0"/>
    <x v="0"/>
    <s v="Abbott, Master. Eugene Joseph"/>
    <x v="0"/>
    <x v="3"/>
    <n v="13"/>
    <n v="0"/>
    <n v="2"/>
    <s v="C.A. 2673"/>
    <n v="20.25"/>
    <m/>
    <x v="1"/>
    <s v="YES"/>
    <x v="0"/>
    <x v="1"/>
  </r>
  <r>
    <n v="1285"/>
    <x v="0"/>
    <x v="1"/>
    <s v="Gilbert, Mr. William"/>
    <x v="0"/>
    <x v="0"/>
    <n v="47"/>
    <n v="0"/>
    <n v="0"/>
    <s v="C.A. 30769"/>
    <n v="10.5"/>
    <m/>
    <x v="1"/>
    <s v="NO"/>
    <x v="0"/>
    <x v="0"/>
  </r>
  <r>
    <n v="1286"/>
    <x v="0"/>
    <x v="0"/>
    <s v="Kink-Heilmann, Mr. Anton"/>
    <x v="0"/>
    <x v="2"/>
    <n v="29"/>
    <n v="3"/>
    <n v="1"/>
    <s v="315153"/>
    <n v="22.024999999999999"/>
    <m/>
    <x v="1"/>
    <s v="NO"/>
    <x v="1"/>
    <x v="1"/>
  </r>
  <r>
    <n v="1287"/>
    <x v="1"/>
    <x v="2"/>
    <s v="Smith, Mrs. Lucien Philip (Mary Eloise Hughes)"/>
    <x v="1"/>
    <x v="2"/>
    <n v="18"/>
    <n v="1"/>
    <n v="0"/>
    <s v="13695"/>
    <n v="60"/>
    <s v="C31"/>
    <x v="1"/>
    <s v="NO"/>
    <x v="1"/>
    <x v="0"/>
  </r>
  <r>
    <n v="1288"/>
    <x v="0"/>
    <x v="0"/>
    <s v="Colbert, Mr. Patrick"/>
    <x v="0"/>
    <x v="2"/>
    <n v="24"/>
    <n v="0"/>
    <n v="0"/>
    <s v="371109"/>
    <n v="7.25"/>
    <m/>
    <x v="0"/>
    <s v="NO"/>
    <x v="0"/>
    <x v="0"/>
  </r>
  <r>
    <n v="1289"/>
    <x v="1"/>
    <x v="2"/>
    <s v="Frolicher-Stehli, Mrs. Maxmillian (Margaretha Emerentia Stehli)"/>
    <x v="1"/>
    <x v="0"/>
    <n v="48"/>
    <n v="1"/>
    <n v="1"/>
    <s v="13567"/>
    <n v="79.2"/>
    <s v="B41"/>
    <x v="2"/>
    <s v="NO"/>
    <x v="1"/>
    <x v="1"/>
  </r>
  <r>
    <n v="1290"/>
    <x v="0"/>
    <x v="0"/>
    <s v="Larsson-Rondberg, Mr. Edvard A"/>
    <x v="0"/>
    <x v="2"/>
    <n v="22"/>
    <n v="0"/>
    <n v="0"/>
    <s v="347065"/>
    <n v="7.7750000000000004"/>
    <m/>
    <x v="1"/>
    <s v="NO"/>
    <x v="0"/>
    <x v="0"/>
  </r>
  <r>
    <n v="1291"/>
    <x v="0"/>
    <x v="0"/>
    <s v="Conlon, Mr. Thomas Henry"/>
    <x v="0"/>
    <x v="0"/>
    <n v="31"/>
    <n v="0"/>
    <n v="0"/>
    <s v="21332"/>
    <n v="7.7332999999999998"/>
    <m/>
    <x v="0"/>
    <s v="NO"/>
    <x v="0"/>
    <x v="0"/>
  </r>
  <r>
    <n v="1292"/>
    <x v="1"/>
    <x v="2"/>
    <s v="Bonnell, Miss. Caroline"/>
    <x v="1"/>
    <x v="0"/>
    <n v="30"/>
    <n v="0"/>
    <n v="0"/>
    <s v="36928"/>
    <n v="164.86670000000001"/>
    <s v="C7"/>
    <x v="1"/>
    <s v="NO"/>
    <x v="0"/>
    <x v="0"/>
  </r>
  <r>
    <n v="1293"/>
    <x v="0"/>
    <x v="1"/>
    <s v="Gale, Mr. Harry"/>
    <x v="0"/>
    <x v="0"/>
    <n v="38"/>
    <n v="1"/>
    <n v="0"/>
    <s v="28664"/>
    <n v="21"/>
    <m/>
    <x v="1"/>
    <s v="NO"/>
    <x v="1"/>
    <x v="0"/>
  </r>
  <r>
    <n v="1294"/>
    <x v="1"/>
    <x v="2"/>
    <s v="Gibson, Miss. Dorothy Winifred"/>
    <x v="1"/>
    <x v="2"/>
    <n v="22"/>
    <n v="0"/>
    <n v="1"/>
    <s v="112378"/>
    <n v="59.4"/>
    <m/>
    <x v="2"/>
    <s v="NO"/>
    <x v="0"/>
    <x v="1"/>
  </r>
  <r>
    <n v="1295"/>
    <x v="0"/>
    <x v="2"/>
    <s v="Carrau, Mr. Jose Pedro"/>
    <x v="0"/>
    <x v="3"/>
    <n v="17"/>
    <n v="0"/>
    <n v="0"/>
    <s v="113059"/>
    <n v="47.1"/>
    <m/>
    <x v="1"/>
    <s v="YES"/>
    <x v="0"/>
    <x v="0"/>
  </r>
  <r>
    <n v="1296"/>
    <x v="0"/>
    <x v="2"/>
    <s v="Frauenthal, Mr. Isaac Gerald"/>
    <x v="0"/>
    <x v="0"/>
    <n v="43"/>
    <n v="1"/>
    <n v="0"/>
    <s v="17765"/>
    <n v="27.720800000000001"/>
    <s v="D40"/>
    <x v="2"/>
    <s v="NO"/>
    <x v="1"/>
    <x v="0"/>
  </r>
  <r>
    <n v="1297"/>
    <x v="0"/>
    <x v="1"/>
    <s v="Nourney, Mr. Alfred (Baron von Drachstedt&quot;)&quot;"/>
    <x v="0"/>
    <x v="2"/>
    <n v="20"/>
    <n v="0"/>
    <n v="0"/>
    <s v="Sc/Paris 2166"/>
    <n v="13.862500000000001"/>
    <s v="D38"/>
    <x v="2"/>
    <s v="NO"/>
    <x v="0"/>
    <x v="0"/>
  </r>
  <r>
    <n v="1298"/>
    <x v="0"/>
    <x v="1"/>
    <s v="Ware, Mr. William Jeffery"/>
    <x v="0"/>
    <x v="2"/>
    <n v="23"/>
    <n v="1"/>
    <n v="0"/>
    <s v="28666"/>
    <n v="10.5"/>
    <m/>
    <x v="1"/>
    <s v="NO"/>
    <x v="1"/>
    <x v="0"/>
  </r>
  <r>
    <n v="1299"/>
    <x v="0"/>
    <x v="2"/>
    <s v="Widener, Mr. George Dunton"/>
    <x v="0"/>
    <x v="0"/>
    <n v="50"/>
    <n v="1"/>
    <n v="1"/>
    <s v="113503"/>
    <n v="211.5"/>
    <s v="C80"/>
    <x v="2"/>
    <s v="NO"/>
    <x v="1"/>
    <x v="1"/>
  </r>
  <r>
    <n v="1300"/>
    <x v="1"/>
    <x v="0"/>
    <s v="Riordan, Miss. Johanna Hannah&quot;&quot;"/>
    <x v="1"/>
    <x v="0"/>
    <n v="30.2"/>
    <n v="0"/>
    <n v="0"/>
    <s v="334915"/>
    <n v="7.7207999999999997"/>
    <m/>
    <x v="0"/>
    <s v="NO"/>
    <x v="0"/>
    <x v="0"/>
  </r>
  <r>
    <n v="1301"/>
    <x v="1"/>
    <x v="0"/>
    <s v="Peacock, Miss. Treasteall"/>
    <x v="1"/>
    <x v="3"/>
    <n v="3"/>
    <n v="1"/>
    <n v="1"/>
    <s v="Soton/O.Q. 3101315"/>
    <n v="13.775"/>
    <m/>
    <x v="1"/>
    <s v="YES"/>
    <x v="1"/>
    <x v="1"/>
  </r>
  <r>
    <n v="1302"/>
    <x v="1"/>
    <x v="0"/>
    <s v="Naughton, Miss. Hannah"/>
    <x v="1"/>
    <x v="0"/>
    <n v="30.2"/>
    <n v="0"/>
    <n v="0"/>
    <s v="365237"/>
    <n v="7.75"/>
    <m/>
    <x v="0"/>
    <s v="NO"/>
    <x v="0"/>
    <x v="0"/>
  </r>
  <r>
    <n v="1303"/>
    <x v="1"/>
    <x v="2"/>
    <s v="Minahan, Mrs. William Edward (Lillian E Thorpe)"/>
    <x v="1"/>
    <x v="0"/>
    <n v="37"/>
    <n v="1"/>
    <n v="0"/>
    <s v="19928"/>
    <n v="90"/>
    <s v="C78"/>
    <x v="0"/>
    <s v="NO"/>
    <x v="1"/>
    <x v="0"/>
  </r>
  <r>
    <n v="1304"/>
    <x v="1"/>
    <x v="0"/>
    <s v="Henriksson, Miss. Jenny Lovisa"/>
    <x v="1"/>
    <x v="2"/>
    <n v="28"/>
    <n v="0"/>
    <n v="0"/>
    <s v="347086"/>
    <n v="7.7750000000000004"/>
    <m/>
    <x v="1"/>
    <s v="NO"/>
    <x v="0"/>
    <x v="0"/>
  </r>
  <r>
    <n v="1305"/>
    <x v="0"/>
    <x v="0"/>
    <s v="Spector, Mr. Woolf"/>
    <x v="0"/>
    <x v="0"/>
    <n v="30.2"/>
    <n v="0"/>
    <n v="0"/>
    <s v="A.5. 3236"/>
    <n v="8.0500000000000007"/>
    <m/>
    <x v="1"/>
    <s v="NO"/>
    <x v="0"/>
    <x v="0"/>
  </r>
  <r>
    <n v="1306"/>
    <x v="1"/>
    <x v="2"/>
    <s v="Oliva y Ocana, Dona. Fermina"/>
    <x v="1"/>
    <x v="0"/>
    <n v="39"/>
    <n v="0"/>
    <n v="0"/>
    <s v="Pc 17758"/>
    <n v="108.9"/>
    <s v="C105"/>
    <x v="2"/>
    <s v="NO"/>
    <x v="0"/>
    <x v="0"/>
  </r>
  <r>
    <n v="1307"/>
    <x v="0"/>
    <x v="0"/>
    <s v="Saether, Mr. Simon Sivertsen"/>
    <x v="0"/>
    <x v="0"/>
    <n v="38.5"/>
    <n v="0"/>
    <n v="0"/>
    <s v="Soton/O.Q. 3101262"/>
    <n v="7.25"/>
    <m/>
    <x v="1"/>
    <s v="NO"/>
    <x v="0"/>
    <x v="0"/>
  </r>
  <r>
    <n v="1308"/>
    <x v="0"/>
    <x v="0"/>
    <s v="Ware, Mr. Frederick"/>
    <x v="0"/>
    <x v="0"/>
    <n v="30.2"/>
    <n v="0"/>
    <n v="0"/>
    <s v="359309"/>
    <n v="8.0500000000000007"/>
    <m/>
    <x v="1"/>
    <s v="NO"/>
    <x v="0"/>
    <x v="0"/>
  </r>
  <r>
    <n v="1309"/>
    <x v="0"/>
    <x v="0"/>
    <s v="Peter, Master. Michael J"/>
    <x v="0"/>
    <x v="0"/>
    <n v="30.2"/>
    <n v="1"/>
    <n v="1"/>
    <s v="2668"/>
    <n v="22.3583"/>
    <m/>
    <x v="2"/>
    <s v="NO"/>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BD14D-0C27-41A0-BB28-0B8892F70B2E}"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0C081-DC4A-4ED9-9DD9-14D3539B7C4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6">
    <pivotField dataField="1"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Passenger ID" fld="0" subtotal="count" baseField="2"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9E7A2A-61E9-47A1-826C-5D4BEC63368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dataField="1"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ssenger ID"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8D28BC-2FF1-4B69-AF05-93E91A181B0C}"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6">
    <pivotField dataField="1" showAll="0"/>
    <pivotField showAll="0"/>
    <pivotField showAll="0"/>
    <pivotField showAll="0"/>
    <pivotField showAll="0"/>
    <pivotField axis="axisRow" showAll="0" sortType="ascending">
      <items count="6">
        <item x="0"/>
        <item x="1"/>
        <item x="3"/>
        <item x="2"/>
        <item h="1"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5"/>
  </rowFields>
  <rowItems count="5">
    <i>
      <x v="1"/>
    </i>
    <i>
      <x v="2"/>
    </i>
    <i>
      <x v="3"/>
    </i>
    <i>
      <x/>
    </i>
    <i t="grand">
      <x/>
    </i>
  </rowItems>
  <colItems count="1">
    <i/>
  </colItems>
  <dataFields count="1">
    <dataField name="Count of Passenger ID" fld="0" subtotal="count" baseField="5" baseItem="0"/>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B290CA-0967-49DE-8CB4-8EC312B88D8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s>
  <rowFields count="1">
    <field x="14"/>
  </rowFields>
  <rowItems count="2">
    <i>
      <x v="1"/>
    </i>
    <i t="grand">
      <x/>
    </i>
  </rowItems>
  <colItems count="1">
    <i/>
  </colItems>
  <dataFields count="1">
    <dataField name="Count of Passenger ID" fld="0" subtotal="count" baseField="7"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0D62A-0466-48CC-84AD-DEB465E76831}"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4">
    <i>
      <x v="1"/>
    </i>
    <i>
      <x/>
    </i>
    <i>
      <x v="2"/>
    </i>
    <i t="grand">
      <x/>
    </i>
  </rowItems>
  <colItems count="1">
    <i/>
  </colItems>
  <dataFields count="1">
    <dataField name="Count of Passenger ID" fld="0" subtotal="count" baseField="1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692065-26DB-43A0-9D48-2576C680B0B7}"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6">
    <pivotField dataField="1" showAll="0"/>
    <pivotField showAll="0"/>
    <pivotField axis="axisRow" showAll="0">
      <items count="5">
        <item x="2"/>
        <item x="1"/>
        <item x="0"/>
        <item h="1" x="3"/>
        <item t="default"/>
      </items>
    </pivotField>
    <pivotField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4"/>
  </colFields>
  <colItems count="3">
    <i>
      <x/>
    </i>
    <i>
      <x v="1"/>
    </i>
    <i t="grand">
      <x/>
    </i>
  </colItems>
  <dataFields count="1">
    <dataField name="Count of Passenger ID" fld="0" subtotal="count" baseField="2"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42AA89-D409-4F3D-A216-E838F60E282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dataField="1"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Passenger ID" fld="0"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7685C4-3161-4334-BB8A-84E8892C5F4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6">
    <pivotField showAll="0"/>
    <pivotField dataField="1"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Surviv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7D70B3-BB51-4289-B83D-6674994AD4BB}"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6">
    <pivotField showAll="0"/>
    <pivotField dataField="1" showAll="0"/>
    <pivotField axis="axisRow" showAll="0" sortType="ascending">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Surviv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50DB25-EBC1-4885-BBB0-F6814CA9A4F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showAll="0"/>
    <pivotField dataField="1" showAll="0"/>
    <pivotField showAll="0"/>
    <pivotField showAll="0"/>
    <pivotField showAll="0"/>
    <pivotField axis="axisRow" showAll="0">
      <items count="6">
        <item x="0"/>
        <item x="1"/>
        <item x="3"/>
        <item x="2"/>
        <item h="1" x="4"/>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Surviv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DBD5DA-A41B-44EF-91A5-813CD1ED24A9}"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6">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s>
  <rowFields count="1">
    <field x="12"/>
  </rowFields>
  <rowItems count="4">
    <i>
      <x/>
    </i>
    <i>
      <x v="1"/>
    </i>
    <i>
      <x v="2"/>
    </i>
    <i t="grand">
      <x/>
    </i>
  </rowItems>
  <colItems count="1">
    <i/>
  </colItems>
  <dataFields count="1">
    <dataField name="Sum of Survived" fld="1"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29FDB8-D26C-42BE-A3A8-926B14345A73}"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6">
    <pivotField showAll="0"/>
    <pivotField dataField="1" showAll="0"/>
    <pivotField axis="axisRow" showAll="0">
      <items count="5">
        <item x="2"/>
        <item x="1"/>
        <item x="0"/>
        <item h="1" x="3"/>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2"/>
    <field x="4"/>
  </rowFields>
  <rowItems count="10">
    <i>
      <x/>
    </i>
    <i r="1">
      <x/>
    </i>
    <i r="1">
      <x v="1"/>
    </i>
    <i>
      <x v="1"/>
    </i>
    <i r="1">
      <x/>
    </i>
    <i r="1">
      <x v="1"/>
    </i>
    <i>
      <x v="2"/>
    </i>
    <i r="1">
      <x/>
    </i>
    <i r="1">
      <x v="1"/>
    </i>
    <i t="grand">
      <x/>
    </i>
  </rowItems>
  <colItems count="1">
    <i/>
  </colItems>
  <dataFields count="1">
    <dataField name="Average of Survived" fld="1" subtotal="average" baseField="2" baseItem="0" numFmtId="9"/>
  </dataFields>
  <formats count="1">
    <format dxfId="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4" count="1" selected="0">
            <x v="0"/>
          </reference>
        </references>
      </pivotArea>
    </chartFormat>
    <chartFormat chart="0" format="2">
      <pivotArea type="data" outline="0" fieldPosition="0">
        <references count="3">
          <reference field="4294967294" count="1" selected="0">
            <x v="0"/>
          </reference>
          <reference field="2" count="1" selected="0">
            <x v="0"/>
          </reference>
          <reference field="4" count="1" selected="0">
            <x v="1"/>
          </reference>
        </references>
      </pivotArea>
    </chartFormat>
    <chartFormat chart="0" format="3">
      <pivotArea type="data" outline="0" fieldPosition="0">
        <references count="3">
          <reference field="4294967294" count="1" selected="0">
            <x v="0"/>
          </reference>
          <reference field="2" count="1" selected="0">
            <x v="1"/>
          </reference>
          <reference field="4" count="1" selected="0">
            <x v="0"/>
          </reference>
        </references>
      </pivotArea>
    </chartFormat>
    <chartFormat chart="0" format="4">
      <pivotArea type="data" outline="0" fieldPosition="0">
        <references count="3">
          <reference field="4294967294" count="1" selected="0">
            <x v="0"/>
          </reference>
          <reference field="2" count="1" selected="0">
            <x v="1"/>
          </reference>
          <reference field="4" count="1" selected="0">
            <x v="1"/>
          </reference>
        </references>
      </pivotArea>
    </chartFormat>
    <chartFormat chart="0" format="5">
      <pivotArea type="data" outline="0" fieldPosition="0">
        <references count="3">
          <reference field="4294967294" count="1" selected="0">
            <x v="0"/>
          </reference>
          <reference field="2" count="1" selected="0">
            <x v="2"/>
          </reference>
          <reference field="4" count="1" selected="0">
            <x v="0"/>
          </reference>
        </references>
      </pivotArea>
    </chartFormat>
    <chartFormat chart="0" format="6">
      <pivotArea type="data" outline="0" fieldPosition="0">
        <references count="3">
          <reference field="4294967294" count="1" selected="0">
            <x v="0"/>
          </reference>
          <reference field="2" count="1" selected="0">
            <x v="2"/>
          </reference>
          <reference field="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3">
          <reference field="4294967294" count="1" selected="0">
            <x v="0"/>
          </reference>
          <reference field="2" count="1" selected="0">
            <x v="0"/>
          </reference>
          <reference field="4" count="1" selected="0">
            <x v="0"/>
          </reference>
        </references>
      </pivotArea>
    </chartFormat>
    <chartFormat chart="2" format="16">
      <pivotArea type="data" outline="0" fieldPosition="0">
        <references count="3">
          <reference field="4294967294" count="1" selected="0">
            <x v="0"/>
          </reference>
          <reference field="2" count="1" selected="0">
            <x v="0"/>
          </reference>
          <reference field="4" count="1" selected="0">
            <x v="1"/>
          </reference>
        </references>
      </pivotArea>
    </chartFormat>
    <chartFormat chart="2" format="17">
      <pivotArea type="data" outline="0" fieldPosition="0">
        <references count="3">
          <reference field="4294967294" count="1" selected="0">
            <x v="0"/>
          </reference>
          <reference field="2" count="1" selected="0">
            <x v="1"/>
          </reference>
          <reference field="4" count="1" selected="0">
            <x v="0"/>
          </reference>
        </references>
      </pivotArea>
    </chartFormat>
    <chartFormat chart="2" format="18">
      <pivotArea type="data" outline="0" fieldPosition="0">
        <references count="3">
          <reference field="4294967294" count="1" selected="0">
            <x v="0"/>
          </reference>
          <reference field="2" count="1" selected="0">
            <x v="1"/>
          </reference>
          <reference field="4" count="1" selected="0">
            <x v="1"/>
          </reference>
        </references>
      </pivotArea>
    </chartFormat>
    <chartFormat chart="2" format="19">
      <pivotArea type="data" outline="0" fieldPosition="0">
        <references count="3">
          <reference field="4294967294" count="1" selected="0">
            <x v="0"/>
          </reference>
          <reference field="2" count="1" selected="0">
            <x v="2"/>
          </reference>
          <reference field="4" count="1" selected="0">
            <x v="0"/>
          </reference>
        </references>
      </pivotArea>
    </chartFormat>
    <chartFormat chart="2" format="20">
      <pivotArea type="data" outline="0" fieldPosition="0">
        <references count="3">
          <reference field="4294967294" count="1" selected="0">
            <x v="0"/>
          </reference>
          <reference field="2"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F665C5-9CF2-4826-A7EE-CC8D82A8715A}"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6">
    <pivotField showAll="0"/>
    <pivotField dataField="1" showAll="0"/>
    <pivotField showAll="0"/>
    <pivotField showAll="0"/>
    <pivotField axis="axisRow" showAll="0">
      <items count="4">
        <item x="1"/>
        <item x="0"/>
        <item x="2"/>
        <item t="default"/>
      </items>
    </pivotField>
    <pivotField axis="axisRow" showAll="0">
      <items count="6">
        <item x="0"/>
        <item x="1"/>
        <item x="3"/>
        <item x="2"/>
        <item h="1" x="4"/>
        <item t="default"/>
      </items>
    </pivotField>
    <pivotField showAll="0"/>
    <pivotField showAll="0"/>
    <pivotField showAll="0"/>
    <pivotField showAll="0"/>
    <pivotField showAll="0"/>
    <pivotField showAll="0"/>
    <pivotField showAll="0"/>
    <pivotField showAll="0"/>
    <pivotField showAll="0"/>
    <pivotField showAll="0"/>
  </pivotFields>
  <rowFields count="2">
    <field x="5"/>
    <field x="4"/>
  </rowFields>
  <rowItems count="13">
    <i>
      <x/>
    </i>
    <i r="1">
      <x/>
    </i>
    <i r="1">
      <x v="1"/>
    </i>
    <i>
      <x v="1"/>
    </i>
    <i r="1">
      <x/>
    </i>
    <i r="1">
      <x v="1"/>
    </i>
    <i>
      <x v="2"/>
    </i>
    <i r="1">
      <x/>
    </i>
    <i r="1">
      <x v="1"/>
    </i>
    <i>
      <x v="3"/>
    </i>
    <i r="1">
      <x/>
    </i>
    <i r="1">
      <x v="1"/>
    </i>
    <i t="grand">
      <x/>
    </i>
  </rowItems>
  <colItems count="1">
    <i/>
  </colItems>
  <dataFields count="1">
    <dataField name="Average of Survived" fld="1" subtotal="average" baseField="5" baseItem="0" numFmtId="9"/>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23F987-C82F-4DC2-94D0-0DA03B008D0A}"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845387-5791-4040-888F-3B766C236771}"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s>
  <rowFields count="1">
    <field x="13"/>
  </rowFields>
  <rowItems count="3">
    <i>
      <x/>
    </i>
    <i>
      <x v="1"/>
    </i>
    <i t="grand">
      <x/>
    </i>
  </rowItems>
  <colItems count="1">
    <i/>
  </colItems>
  <dataFields count="1">
    <dataField name="Count of Passenger ID" fld="0" subtotal="count" baseField="1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D48E38C-6EE5-49FC-B316-CBE47D3E62D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4" firstHeaderRow="1" firstDataRow="1" firstDataCol="0"/>
  <pivotFields count="16">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ssenger ID" fld="0" subtotal="count" baseField="0" baseItem="16"/>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92BB2D-7555-4F68-9DFB-03EBF942CC2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6">
    <pivotField dataField="1" showAll="0"/>
    <pivotField showAll="0"/>
    <pivotField showAll="0"/>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Items count="1">
    <i/>
  </rowItems>
  <colItems count="1">
    <i/>
  </colItems>
  <dataFields count="1">
    <dataField name="Count of Passenger ID" fld="0" subtotal="count" baseField="0" baseItem="2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5BC661-D5E3-473F-A68F-E6579CB5A4B5}"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74:E79" firstHeaderRow="1" firstDataRow="2" firstDataCol="1"/>
  <pivotFields count="16">
    <pivotField dataField="1" showAll="0"/>
    <pivotField showAll="0"/>
    <pivotField axis="axisRow" showAll="0">
      <items count="4">
        <item x="2"/>
        <item x="1"/>
        <item x="0"/>
        <item t="default"/>
      </items>
    </pivotField>
    <pivotField showAll="0"/>
    <pivotField axis="axisCol"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2"/>
  </rowFields>
  <rowItems count="4">
    <i>
      <x/>
    </i>
    <i>
      <x v="1"/>
    </i>
    <i>
      <x v="2"/>
    </i>
    <i t="grand">
      <x/>
    </i>
  </rowItems>
  <colFields count="1">
    <field x="4"/>
  </colFields>
  <colItems count="3">
    <i>
      <x/>
    </i>
    <i>
      <x v="1"/>
    </i>
    <i t="grand">
      <x/>
    </i>
  </colItems>
  <dataFields count="1">
    <dataField name="Count of Passenger ID" fld="0" subtotal="count" baseField="2"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9" format="4"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1"/>
          </reference>
        </references>
      </pivotArea>
    </chartFormat>
    <chartFormat chart="9" format="6">
      <pivotArea type="data" outline="0" fieldPosition="0">
        <references count="3">
          <reference field="4294967294" count="1" selected="0">
            <x v="0"/>
          </reference>
          <reference field="2" count="1" selected="0">
            <x v="2"/>
          </reference>
          <reference field="4" count="1" selected="0">
            <x v="1"/>
          </reference>
        </references>
      </pivotArea>
    </chartFormat>
    <chartFormat chart="10" format="2" series="1">
      <pivotArea type="data" outline="0" fieldPosition="0">
        <references count="2">
          <reference field="4294967294" count="1" selected="0">
            <x v="0"/>
          </reference>
          <reference field="4" count="1" selected="0">
            <x v="0"/>
          </reference>
        </references>
      </pivotArea>
    </chartFormat>
    <chartFormat chart="10" format="3"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0"/>
          </reference>
        </references>
      </pivotArea>
    </chartFormat>
    <chartFormat chart="11" format="5" series="1">
      <pivotArea type="data" outline="0" fieldPosition="0">
        <references count="2">
          <reference field="4294967294" count="1" selected="0">
            <x v="0"/>
          </reference>
          <reference field="4" count="1" selected="0">
            <x v="1"/>
          </reference>
        </references>
      </pivotArea>
    </chartFormat>
    <chartFormat chart="11"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B9811F9-76B2-4226-B4F9-421337CB0074}"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3:C56" firstHeaderRow="1" firstDataRow="1" firstDataCol="1"/>
  <pivotFields count="16">
    <pivotField showAll="0"/>
    <pivotField showAll="0"/>
    <pivotField showAll="0"/>
    <pivotField dataField="1"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3">
        <item x="0"/>
        <item x="1"/>
        <item t="default"/>
      </items>
    </pivotField>
  </pivotFields>
  <rowFields count="1">
    <field x="15"/>
  </rowFields>
  <rowItems count="3">
    <i>
      <x/>
    </i>
    <i>
      <x v="1"/>
    </i>
    <i t="grand">
      <x/>
    </i>
  </rowItems>
  <colItems count="1">
    <i/>
  </colItems>
  <dataFields count="1">
    <dataField name="Count of Name" fld="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CB01680-EB8E-4D56-BFE5-E7429446555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5:C48" firstHeaderRow="1" firstDataRow="1" firstDataCol="1"/>
  <pivotFields count="16">
    <pivotField dataField="1" showAll="0"/>
    <pivotField showAll="0"/>
    <pivotField showAll="0"/>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axis="axisRow" showAll="0">
      <items count="3">
        <item x="0"/>
        <item x="1"/>
        <item t="default"/>
      </items>
    </pivotField>
    <pivotField showAll="0"/>
  </pivotFields>
  <rowFields count="1">
    <field x="14"/>
  </rowFields>
  <rowItems count="3">
    <i>
      <x/>
    </i>
    <i>
      <x v="1"/>
    </i>
    <i t="grand">
      <x/>
    </i>
  </rowItems>
  <colItems count="1">
    <i/>
  </colItems>
  <dataFields count="1">
    <dataField name="Count of Passenger ID" fld="0" subtotal="count" baseField="14" baseItem="0"/>
  </dataField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4" count="1" selected="0">
            <x v="1"/>
          </reference>
        </references>
      </pivotArea>
    </chartFormat>
    <chartFormat chart="6" format="4">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68D8CEC-ABCE-4BE7-9E32-5ADC220837DC}"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96:C99" firstHeaderRow="1" firstDataRow="1" firstDataCol="1"/>
  <pivotFields count="16">
    <pivotField showAll="0"/>
    <pivotField dataField="1" showAll="0"/>
    <pivotField showAll="0"/>
    <pivotField showAll="0"/>
    <pivotField axis="axisRow"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4"/>
  </rowFields>
  <rowItems count="3">
    <i>
      <x/>
    </i>
    <i>
      <x v="1"/>
    </i>
    <i t="grand">
      <x/>
    </i>
  </rowItems>
  <colItems count="1">
    <i/>
  </colItems>
  <dataFields count="1">
    <dataField name="Sum of Survived" fld="1" baseField="4" baseItem="0"/>
  </dataFields>
  <chartFormats count="3">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7CE9FA2-3637-4718-80D4-527553B0476C}"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5:C88" firstHeaderRow="1" firstDataRow="1" firstDataCol="1"/>
  <pivotFields count="16">
    <pivotField showAll="0"/>
    <pivotField axis="axisRow" showAll="0">
      <items count="3">
        <item x="0"/>
        <item x="1"/>
        <item t="default"/>
      </items>
    </pivotField>
    <pivotField showAll="0"/>
    <pivotField dataField="1"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1"/>
  </rowFields>
  <rowItems count="3">
    <i>
      <x/>
    </i>
    <i>
      <x v="1"/>
    </i>
    <i t="grand">
      <x/>
    </i>
  </rowItems>
  <colItems count="1">
    <i/>
  </colItems>
  <dataFields count="1">
    <dataField name="Count of Name" fld="3" subtotal="count" baseField="0" baseItem="0"/>
  </dataField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8787378-4A64-4487-90B5-0AD0F0371B87}"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38:C148" firstHeaderRow="1" firstDataRow="1" firstDataCol="1"/>
  <pivotFields count="16">
    <pivotField showAll="0"/>
    <pivotField dataField="1" showAll="0"/>
    <pivotField axis="axisRow" showAll="0">
      <items count="4">
        <item x="2"/>
        <item x="1"/>
        <item x="0"/>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2">
    <field x="2"/>
    <field x="4"/>
  </rowFields>
  <rowItems count="10">
    <i>
      <x/>
    </i>
    <i r="1">
      <x/>
    </i>
    <i r="1">
      <x v="1"/>
    </i>
    <i>
      <x v="1"/>
    </i>
    <i r="1">
      <x/>
    </i>
    <i r="1">
      <x v="1"/>
    </i>
    <i>
      <x v="2"/>
    </i>
    <i r="1">
      <x/>
    </i>
    <i r="1">
      <x v="1"/>
    </i>
    <i t="grand">
      <x/>
    </i>
  </rowItems>
  <colItems count="1">
    <i/>
  </colItems>
  <dataFields count="1">
    <dataField name="Average of Survived" fld="1" subtotal="average" baseField="2" baseItem="0"/>
  </dataFields>
  <chartFormats count="2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3">
          <reference field="4294967294" count="1" selected="0">
            <x v="0"/>
          </reference>
          <reference field="2" count="1" selected="0">
            <x v="0"/>
          </reference>
          <reference field="4" count="1" selected="0">
            <x v="0"/>
          </reference>
        </references>
      </pivotArea>
    </chartFormat>
    <chartFormat chart="2" format="9">
      <pivotArea type="data" outline="0" fieldPosition="0">
        <references count="3">
          <reference field="4294967294" count="1" selected="0">
            <x v="0"/>
          </reference>
          <reference field="2" count="1" selected="0">
            <x v="0"/>
          </reference>
          <reference field="4" count="1" selected="0">
            <x v="1"/>
          </reference>
        </references>
      </pivotArea>
    </chartFormat>
    <chartFormat chart="2" format="10">
      <pivotArea type="data" outline="0" fieldPosition="0">
        <references count="3">
          <reference field="4294967294" count="1" selected="0">
            <x v="0"/>
          </reference>
          <reference field="2" count="1" selected="0">
            <x v="1"/>
          </reference>
          <reference field="4" count="1" selected="0">
            <x v="0"/>
          </reference>
        </references>
      </pivotArea>
    </chartFormat>
    <chartFormat chart="2" format="11">
      <pivotArea type="data" outline="0" fieldPosition="0">
        <references count="3">
          <reference field="4294967294" count="1" selected="0">
            <x v="0"/>
          </reference>
          <reference field="2" count="1" selected="0">
            <x v="1"/>
          </reference>
          <reference field="4" count="1" selected="0">
            <x v="1"/>
          </reference>
        </references>
      </pivotArea>
    </chartFormat>
    <chartFormat chart="2" format="12">
      <pivotArea type="data" outline="0" fieldPosition="0">
        <references count="3">
          <reference field="4294967294" count="1" selected="0">
            <x v="0"/>
          </reference>
          <reference field="2" count="1" selected="0">
            <x v="2"/>
          </reference>
          <reference field="4" count="1" selected="0">
            <x v="0"/>
          </reference>
        </references>
      </pivotArea>
    </chartFormat>
    <chartFormat chart="2" format="13">
      <pivotArea type="data" outline="0" fieldPosition="0">
        <references count="3">
          <reference field="4294967294" count="1" selected="0">
            <x v="0"/>
          </reference>
          <reference field="2" count="1" selected="0">
            <x v="2"/>
          </reference>
          <reference field="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3">
          <reference field="4294967294" count="1" selected="0">
            <x v="0"/>
          </reference>
          <reference field="2" count="1" selected="0">
            <x v="0"/>
          </reference>
          <reference field="4" count="1" selected="0">
            <x v="0"/>
          </reference>
        </references>
      </pivotArea>
    </chartFormat>
    <chartFormat chart="3" format="16">
      <pivotArea type="data" outline="0" fieldPosition="0">
        <references count="3">
          <reference field="4294967294" count="1" selected="0">
            <x v="0"/>
          </reference>
          <reference field="2" count="1" selected="0">
            <x v="0"/>
          </reference>
          <reference field="4" count="1" selected="0">
            <x v="1"/>
          </reference>
        </references>
      </pivotArea>
    </chartFormat>
    <chartFormat chart="3" format="17">
      <pivotArea type="data" outline="0" fieldPosition="0">
        <references count="3">
          <reference field="4294967294" count="1" selected="0">
            <x v="0"/>
          </reference>
          <reference field="2" count="1" selected="0">
            <x v="1"/>
          </reference>
          <reference field="4" count="1" selected="0">
            <x v="0"/>
          </reference>
        </references>
      </pivotArea>
    </chartFormat>
    <chartFormat chart="3" format="18">
      <pivotArea type="data" outline="0" fieldPosition="0">
        <references count="3">
          <reference field="4294967294" count="1" selected="0">
            <x v="0"/>
          </reference>
          <reference field="2" count="1" selected="0">
            <x v="1"/>
          </reference>
          <reference field="4" count="1" selected="0">
            <x v="1"/>
          </reference>
        </references>
      </pivotArea>
    </chartFormat>
    <chartFormat chart="3" format="19">
      <pivotArea type="data" outline="0" fieldPosition="0">
        <references count="3">
          <reference field="4294967294" count="1" selected="0">
            <x v="0"/>
          </reference>
          <reference field="2" count="1" selected="0">
            <x v="2"/>
          </reference>
          <reference field="4" count="1" selected="0">
            <x v="0"/>
          </reference>
        </references>
      </pivotArea>
    </chartFormat>
    <chartFormat chart="3" format="20">
      <pivotArea type="data" outline="0" fieldPosition="0">
        <references count="3">
          <reference field="4294967294" count="1" selected="0">
            <x v="0"/>
          </reference>
          <reference field="2" count="1" selected="0">
            <x v="2"/>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3">
          <reference field="4294967294" count="1" selected="0">
            <x v="0"/>
          </reference>
          <reference field="2" count="1" selected="0">
            <x v="1"/>
          </reference>
          <reference field="4" count="1" selected="0">
            <x v="1"/>
          </reference>
        </references>
      </pivotArea>
    </chartFormat>
    <chartFormat chart="10" format="4">
      <pivotArea type="data" outline="0" fieldPosition="0">
        <references count="3">
          <reference field="4294967294" count="1" selected="0">
            <x v="0"/>
          </reference>
          <reference field="2" count="1" selected="0">
            <x v="0"/>
          </reference>
          <reference field="4" count="1" selected="0">
            <x v="1"/>
          </reference>
        </references>
      </pivotArea>
    </chartFormat>
    <chartFormat chart="10" format="5">
      <pivotArea type="data" outline="0" fieldPosition="0">
        <references count="3">
          <reference field="4294967294" count="1" selected="0">
            <x v="0"/>
          </reference>
          <reference field="2" count="1" selected="0">
            <x v="2"/>
          </reference>
          <reference field="4" count="1" selected="0">
            <x v="1"/>
          </reference>
        </references>
      </pivotArea>
    </chartFormat>
    <chartFormat chart="10" format="6">
      <pivotArea type="data" outline="0" fieldPosition="0">
        <references count="3">
          <reference field="4294967294" count="1" selected="0">
            <x v="0"/>
          </reference>
          <reference field="2" count="1" selected="0">
            <x v="2"/>
          </reference>
          <reference field="4" count="1" selected="0">
            <x v="0"/>
          </reference>
        </references>
      </pivotArea>
    </chartFormat>
    <chartFormat chart="10" format="7">
      <pivotArea type="data" outline="0" fieldPosition="0">
        <references count="3">
          <reference field="4294967294" count="1" selected="0">
            <x v="0"/>
          </reference>
          <reference field="2" count="1" selected="0">
            <x v="1"/>
          </reference>
          <reference field="4" count="1" selected="0">
            <x v="0"/>
          </reference>
        </references>
      </pivotArea>
    </chartFormat>
    <chartFormat chart="10" format="8">
      <pivotArea type="data" outline="0" fieldPosition="0">
        <references count="3">
          <reference field="4294967294" count="1" selected="0">
            <x v="0"/>
          </reference>
          <reference field="2"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F4C6A37-0AF4-479C-A36E-20EEE5360EE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3:C38" firstHeaderRow="1" firstDataRow="1" firstDataCol="1"/>
  <pivotFields count="16">
    <pivotField dataField="1" showAll="0"/>
    <pivotField showAll="0"/>
    <pivotField showAll="0"/>
    <pivotField showAll="0"/>
    <pivotField showAll="0">
      <items count="3">
        <item x="1"/>
        <item x="0"/>
        <item t="default"/>
      </items>
    </pivotField>
    <pivotField axis="axisRow" showAll="0" sortType="ascending">
      <items count="6">
        <item x="0"/>
        <item x="1"/>
        <item x="3"/>
        <item x="2"/>
        <item h="1"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5"/>
  </rowFields>
  <rowItems count="5">
    <i>
      <x v="1"/>
    </i>
    <i>
      <x v="2"/>
    </i>
    <i>
      <x v="3"/>
    </i>
    <i>
      <x/>
    </i>
    <i t="grand">
      <x/>
    </i>
  </rowItems>
  <colItems count="1">
    <i/>
  </colItems>
  <dataFields count="1">
    <dataField name="Count of Passenger ID" fld="0" subtotal="count" baseField="13"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2140FE2-7F82-4287-8E37-44A60CC706C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2:C16" firstHeaderRow="1" firstDataRow="1" firstDataCol="1"/>
  <pivotFields count="16">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2"/>
  </rowFields>
  <rowItems count="4">
    <i>
      <x v="2"/>
    </i>
    <i>
      <x v="1"/>
    </i>
    <i>
      <x/>
    </i>
    <i t="grand">
      <x/>
    </i>
  </rowItems>
  <colItems count="1">
    <i/>
  </colItems>
  <dataFields count="1">
    <dataField name="Count of Name" fld="3" subtotal="count"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3A5DBE2-20A5-48CC-9CAF-1944148219A6}"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7:C119" firstHeaderRow="1" firstDataRow="1" firstDataCol="1"/>
  <pivotFields count="16">
    <pivotField showAll="0"/>
    <pivotField dataField="1" showAll="0"/>
    <pivotField showAll="0"/>
    <pivotField showAll="0"/>
    <pivotField showAll="0">
      <items count="3">
        <item x="1"/>
        <item x="0"/>
        <item t="default"/>
      </items>
    </pivotField>
    <pivotField axis="axisRow"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5"/>
  </rowFields>
  <rowItems count="2">
    <i>
      <x v="3"/>
    </i>
    <i t="grand">
      <x/>
    </i>
  </rowItems>
  <colItems count="1">
    <i/>
  </colItems>
  <dataFields count="1">
    <dataField name="Sum of SURVIVED" fld="1" baseField="5" baseItem="0"/>
  </dataField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46B8CE8-640F-4A57-8E34-51A434CEBE93}"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61:C65" firstHeaderRow="1" firstDataRow="1" firstDataCol="1"/>
  <pivotFields count="16">
    <pivotField dataField="1" showAll="0"/>
    <pivotField showAll="0"/>
    <pivotField showAll="0"/>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s>
  <rowFields count="1">
    <field x="12"/>
  </rowFields>
  <rowItems count="4">
    <i>
      <x/>
    </i>
    <i>
      <x v="1"/>
    </i>
    <i>
      <x v="2"/>
    </i>
    <i t="grand">
      <x/>
    </i>
  </rowItems>
  <colItems count="1">
    <i/>
  </colItems>
  <dataFields count="1">
    <dataField name="Count of Passenger ID" fld="0" subtotal="count" baseField="12"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2"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5381E08-66D9-41E1-98D9-948A1F9AC145}"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07:C111" firstHeaderRow="1" firstDataRow="1" firstDataCol="1"/>
  <pivotFields count="16">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2"/>
  </rowFields>
  <rowItems count="4">
    <i>
      <x v="2"/>
    </i>
    <i>
      <x v="1"/>
    </i>
    <i>
      <x/>
    </i>
    <i t="grand">
      <x/>
    </i>
  </rowItems>
  <colItems count="1">
    <i/>
  </colItems>
  <dataFields count="1">
    <dataField name="Sum of Survived" fld="1" baseField="0" baseItem="0"/>
  </dataFields>
  <chartFormats count="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3E80569-E8C9-4153-919A-176EDFB239F1}"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7:C131" firstHeaderRow="1" firstDataRow="1" firstDataCol="1"/>
  <pivotFields count="16">
    <pivotField dataField="1" showAll="0"/>
    <pivotField showAll="0"/>
    <pivotField showAll="0"/>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4">
    <i>
      <x v="2"/>
    </i>
    <i>
      <x/>
    </i>
    <i>
      <x v="1"/>
    </i>
    <i t="grand">
      <x/>
    </i>
  </rowItems>
  <colItems count="1">
    <i/>
  </colItems>
  <dataFields count="1">
    <dataField name="Count of Passenger ID" fld="0" subtotal="count" baseField="12" baseItem="2"/>
  </dataFields>
  <chartFormats count="6">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2" count="1" selected="0">
            <x v="1"/>
          </reference>
        </references>
      </pivotArea>
    </chartFormat>
    <chartFormat chart="9" format="4">
      <pivotArea type="data" outline="0" fieldPosition="0">
        <references count="2">
          <reference field="4294967294" count="1" selected="0">
            <x v="0"/>
          </reference>
          <reference field="12" count="1" selected="0">
            <x v="0"/>
          </reference>
        </references>
      </pivotArea>
    </chartFormat>
    <chartFormat chart="9"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D33FC7A-F150-49A8-8676-9BDF1CE17870}"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3:D170" firstHeaderRow="1" firstDataRow="1" firstDataCol="0"/>
  <pivotFields count="16">
    <pivotField showAll="0"/>
    <pivotField showAll="0"/>
    <pivotField showAll="0"/>
    <pivotField showAll="0"/>
    <pivotField showAll="0">
      <items count="3">
        <item x="1"/>
        <item x="0"/>
        <item t="default"/>
      </items>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008B623-D6E6-45ED-99A0-44781463D37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1:C24" firstHeaderRow="1" firstDataRow="1" firstDataCol="1"/>
  <pivotFields count="16">
    <pivotField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6">
        <item h="1" x="0"/>
        <item h="1" x="1"/>
        <item h="1" x="3"/>
        <item x="2"/>
        <item h="1" m="1" x="4"/>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4"/>
  </rowFields>
  <rowItems count="3">
    <i>
      <x v="1"/>
    </i>
    <i>
      <x/>
    </i>
    <i t="grand">
      <x/>
    </i>
  </rowItems>
  <colItems count="1">
    <i/>
  </colItems>
  <dataFields count="1">
    <dataField name="Count of Sex" fld="4" subtotal="count" baseField="0" baseItem="0"/>
  </dataField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1"/>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6" format="1">
      <pivotArea type="data" outline="0" fieldPosition="0">
        <references count="2">
          <reference field="4294967294" count="1" selected="0">
            <x v="0"/>
          </reference>
          <reference field="4" count="1" selected="0">
            <x v="1"/>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7D62B47-CE72-478C-8AAF-CAA56B71768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1" firstHeaderRow="1" firstDataRow="1" firstDataCol="1"/>
  <pivotFields count="16">
    <pivotField showAll="0"/>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Survive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799A9CC-E983-4503-892B-EF6A3BD0BD4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DCD86D7-00C8-4BE4-98C8-26ACAB57F064}"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pivotFields count="16">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0907FCD-38DD-4386-81EE-B30C2E710C5F}"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868B4FDB-315A-4916-A316-E545F0188761}"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9" firstHeaderRow="1" firstDataRow="1" firstDataCol="1"/>
  <pivotFields count="16">
    <pivotField dataField="1"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Count of Passenger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1C20426-5390-450D-966E-6D52DEF349BA}"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asseng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108319FD-E6F5-415C-B3F5-7E4BA3E736FC}" sourceName="Sex">
  <pivotTables>
    <pivotTable tabId="26" name="PivotTable5"/>
    <pivotTable tabId="26" name="PivotTable1"/>
    <pivotTable tabId="12" name="PivotTable8"/>
    <pivotTable tabId="26" name="PivotTable10"/>
    <pivotTable tabId="26" name="PivotTable11"/>
    <pivotTable tabId="26" name="PivotTable12"/>
    <pivotTable tabId="26" name="PivotTable13"/>
    <pivotTable tabId="26" name="PivotTable14"/>
    <pivotTable tabId="26" name="PivotTable15"/>
    <pivotTable tabId="26" name="PivotTable2"/>
    <pivotTable tabId="26" name="PivotTable3"/>
    <pivotTable tabId="26" name="PivotTable4"/>
    <pivotTable tabId="26" name="PivotTable6"/>
    <pivotTable tabId="26" name="PivotTable7"/>
    <pivotTable tabId="26" name="PivotTable8"/>
    <pivotTable tabId="26" name="PivotTable9"/>
    <pivotTable tabId="6" name="PivotTable1"/>
  </pivotTables>
  <data>
    <tabular pivotCacheId="8000692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45C17B99-6BDF-4D61-AC87-36D56C7FF590}" sourceName="AGEGROUP">
  <pivotTables>
    <pivotTable tabId="26" name="PivotTable5"/>
    <pivotTable tabId="26" name="PivotTable1"/>
    <pivotTable tabId="26" name="PivotTable10"/>
    <pivotTable tabId="26" name="PivotTable11"/>
    <pivotTable tabId="26" name="PivotTable12"/>
    <pivotTable tabId="26" name="PivotTable13"/>
    <pivotTable tabId="26" name="PivotTable14"/>
    <pivotTable tabId="26" name="PivotTable15"/>
    <pivotTable tabId="26" name="PivotTable2"/>
    <pivotTable tabId="26" name="PivotTable3"/>
    <pivotTable tabId="26" name="PivotTable6"/>
    <pivotTable tabId="26" name="PivotTable7"/>
    <pivotTable tabId="26" name="PivotTable8"/>
    <pivotTable tabId="26" name="PivotTable9"/>
    <pivotTable tabId="12" name="PivotTable8"/>
  </pivotTables>
  <data>
    <tabular pivotCacheId="80006929">
      <items count="5">
        <i x="0"/>
        <i x="1"/>
        <i x="3"/>
        <i x="2"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4F80D53D-495B-41D8-9365-6B643C874549}" sourceName="Embarked">
  <pivotTables>
    <pivotTable tabId="26" name="PivotTable5"/>
    <pivotTable tabId="26" name="PivotTable1"/>
    <pivotTable tabId="26" name="PivotTable10"/>
    <pivotTable tabId="26" name="PivotTable11"/>
    <pivotTable tabId="26" name="PivotTable12"/>
    <pivotTable tabId="26" name="PivotTable13"/>
    <pivotTable tabId="26" name="PivotTable14"/>
    <pivotTable tabId="26" name="PivotTable15"/>
    <pivotTable tabId="26" name="PivotTable2"/>
    <pivotTable tabId="26" name="PivotTable3"/>
    <pivotTable tabId="26" name="PivotTable4"/>
    <pivotTable tabId="26" name="PivotTable6"/>
    <pivotTable tabId="26" name="PivotTable7"/>
    <pivotTable tabId="26" name="PivotTable8"/>
    <pivotTable tabId="26" name="PivotTable9"/>
    <pivotTable tabId="12" name="PivotTable8"/>
  </pivotTables>
  <data>
    <tabular pivotCacheId="8000692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E18EB847-A541-443D-870F-155365C13844}" sourceName="Pclass">
  <pivotTables>
    <pivotTable tabId="26" name="PivotTable11"/>
  </pivotTables>
  <data>
    <tabular pivotCacheId="8000692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80FEF641-DC27-4CA2-B6C3-7F883E1E05E2}" cache="Slicer_Sex" caption="Sex" style="SlicerStyleDark2" rowHeight="241300"/>
  <slicer name="AGEGROUP" xr10:uid="{31D001A9-DB6C-4667-92E2-731BA64A1B88}" cache="Slicer_AGEGROUP" caption="AGEGROUP" startItem="2" style="SlicerStyleDark2" rowHeight="241300"/>
  <slicer name="Embarked" xr10:uid="{C30371E6-647B-4000-9046-AE6733796DE0}" cache="Slicer_Embarked" caption="Embarked" style="SlicerStyleDark2" rowHeight="241300"/>
  <slicer name="Pclass" xr10:uid="{6D47FDAA-E284-4F65-9D06-8A264CABAAD2}" cache="Slicer_Pclass" caption="Pclass"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DD5493-4EA6-406B-AC35-9EE8695CC41C}" name="Table2" displayName="Table2" ref="A1:P271" totalsRowShown="0">
  <autoFilter ref="A1:P271" xr:uid="{75DD5493-4EA6-406B-AC35-9EE8695CC41C}"/>
  <tableColumns count="16">
    <tableColumn id="1" xr3:uid="{41757049-6B78-4887-A0C5-5CCEAC87B40E}" name="Passenger ID"/>
    <tableColumn id="2" xr3:uid="{65303862-A780-4B15-9E30-0768C35470D5}" name="Survived"/>
    <tableColumn id="3" xr3:uid="{51B1AECB-0243-4D30-B67D-D03057699B60}" name="Pclass"/>
    <tableColumn id="4" xr3:uid="{475472AD-9970-44E8-B94E-6E3D041725FB}" name="Name"/>
    <tableColumn id="5" xr3:uid="{BBE07439-1B02-4A19-924E-7B37D9B6EFC1}" name="Sex"/>
    <tableColumn id="6" xr3:uid="{1A0643A3-9AF3-4D9E-8227-3CE2F741D728}" name="AGEGROUP"/>
    <tableColumn id="7" xr3:uid="{8C892885-C15D-42EA-A74E-B9F26E683F77}" name="Age"/>
    <tableColumn id="8" xr3:uid="{EE860868-9C0F-472F-BEA9-0A2F030AAEC1}" name="SIBLINGS/SPOUSES"/>
    <tableColumn id="9" xr3:uid="{33B675BD-0E57-4307-8ECB-AAD1AF82ED5F}" name="Parch"/>
    <tableColumn id="10" xr3:uid="{B35C20F3-549D-4BE0-9F76-A800731E72C8}" name="Ticket"/>
    <tableColumn id="11" xr3:uid="{0DE9A1BF-7155-4237-995E-C44023C4374C}" name="Fare"/>
    <tableColumn id="12" xr3:uid="{2D10A562-3AFB-454E-B6C5-E2D5C7E2FAF0}" name="Cabin"/>
    <tableColumn id="13" xr3:uid="{3E57B809-75F6-4D07-B4F3-79A656B4ED01}" name="Embarked"/>
    <tableColumn id="14" xr3:uid="{D7E2DCBD-4AC3-4696-8FF6-A4C8EA672979}" name="CHILD"/>
    <tableColumn id="15" xr3:uid="{613BC346-E5E4-4BFE-B6C8-B749D3D33F91}" name="HAD SBLINGS"/>
    <tableColumn id="16" xr3:uid="{7A83EA55-A046-4D30-8465-836A065700B2}" name="HAD CHILDR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C242FA-DCFA-4827-B84C-A3DC4771E0A9}" name="Table3" displayName="Table3" ref="A1:P42" totalsRowShown="0">
  <autoFilter ref="A1:P42" xr:uid="{73C242FA-DCFA-4827-B84C-A3DC4771E0A9}"/>
  <tableColumns count="16">
    <tableColumn id="1" xr3:uid="{83FFF57D-420C-45C9-BB70-13B3C56F3049}" name="Passenger ID"/>
    <tableColumn id="2" xr3:uid="{2CAA53CD-7923-4D48-A441-C43D89618164}" name="Survived"/>
    <tableColumn id="3" xr3:uid="{053F9BAF-3ADC-48C1-A198-DDD83E917A66}" name="Pclass"/>
    <tableColumn id="4" xr3:uid="{21BBF53C-69BD-4B28-8308-0C5B978C54C7}" name="Name"/>
    <tableColumn id="5" xr3:uid="{1A85002F-46EC-4603-8849-6687DD5CCCF1}" name="Sex"/>
    <tableColumn id="6" xr3:uid="{DDDDBC4D-FE0D-49BA-A949-A6170BD07438}" name="AGEGROUP"/>
    <tableColumn id="7" xr3:uid="{A8FB4E6A-595E-4D80-B420-FD76549997E4}" name="Age"/>
    <tableColumn id="8" xr3:uid="{CC4B4FBF-32A4-4AE7-B822-5E82AE50F816}" name="SIBLINGS/SPOUSES"/>
    <tableColumn id="9" xr3:uid="{EBD00F26-7BDD-40C6-8A46-9ADBF083B079}" name="Parch"/>
    <tableColumn id="10" xr3:uid="{45C74BC1-33F7-4CD6-8066-AA1A8DC11297}" name="Ticket"/>
    <tableColumn id="11" xr3:uid="{5572C53F-979C-4B5D-AA18-90C8052F782E}" name="Fare"/>
    <tableColumn id="12" xr3:uid="{FF5DE4BF-3D26-4F1B-A294-4E6ADD582B73}" name="Cabin"/>
    <tableColumn id="13" xr3:uid="{D5AD838D-97F2-47B6-8572-A317DA7C6D39}" name="Embarked"/>
    <tableColumn id="14" xr3:uid="{13DDD444-E099-466D-8008-F57F7177EB6F}" name="CHILD"/>
    <tableColumn id="15" xr3:uid="{21AD8F18-4AD9-4F74-A2DB-68679C31582F}" name="HAD SBLINGS"/>
    <tableColumn id="16" xr3:uid="{92421D02-6E0F-4BD6-B5A5-6DBDEED0B7C8}" name="HAD CHILDR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7C3E6D-8C5B-4E00-8D68-E491E0ACB509}" name="Cleanedtable" displayName="Cleanedtable" ref="A1:P419" totalsRowShown="0">
  <autoFilter ref="A1:P419" xr:uid="{3C7C3E6D-8C5B-4E00-8D68-E491E0ACB509}"/>
  <tableColumns count="16">
    <tableColumn id="1" xr3:uid="{F973BF00-C268-4762-8842-242AF01C00FE}" name="Passenger ID"/>
    <tableColumn id="2" xr3:uid="{F266D183-AD97-4ADE-BACB-02600710B9E4}" name="Survived"/>
    <tableColumn id="3" xr3:uid="{19BA57C1-87BF-4CF3-88E1-4D6901D39674}" name="Pclass"/>
    <tableColumn id="4" xr3:uid="{DFEB6C88-5E48-4DFD-895F-71A43AC567E1}" name="Name"/>
    <tableColumn id="5" xr3:uid="{D4252D35-ED0E-4D51-A7C3-A9E1B35ADB21}" name="Sex"/>
    <tableColumn id="18" xr3:uid="{54912AB8-EC13-46F6-8054-A822AEC090FE}" name="AGEGROUP" dataDxfId="3">
      <calculatedColumnFormula>IF(Cleanedtable[[#This Row],[Age]]&lt;18,"TEEN",IF(Cleanedtable[[#This Row],[Age]]&lt;30,"YOUTH",IF(Cleanedtable[[#This Row],[Age]]&lt;=59,"ADULT",IF(Cleanedtable[[#This Row],[Age]]&gt;=60,"ELDER"))))</calculatedColumnFormula>
    </tableColumn>
    <tableColumn id="6" xr3:uid="{FB36E7CD-F725-4BBC-A74D-31D197A157F9}" name="Age"/>
    <tableColumn id="7" xr3:uid="{B768CEDA-FE8F-4ECE-B849-016D1C098170}" name="SIBLINGS/SPOUSES"/>
    <tableColumn id="8" xr3:uid="{E5FAE57D-47C3-4FDE-BB8B-4B8FE20C5F45}" name="Parch"/>
    <tableColumn id="9" xr3:uid="{0225C4A5-BAE2-4686-AF2D-A06813C594A2}" name="Ticket"/>
    <tableColumn id="10" xr3:uid="{423A8B38-328F-42DF-BB64-E58D080711CB}" name="Fare"/>
    <tableColumn id="11" xr3:uid="{9DF5E0DE-9D75-4669-91F1-CC48EDC67E90}" name="Cabin"/>
    <tableColumn id="12" xr3:uid="{5A652487-4BEF-436F-9D17-71EC11B6F536}" name="Embarked"/>
    <tableColumn id="15" xr3:uid="{0776E6F8-0680-41CD-AC4E-78F40FE08F0C}" name="CHILD" dataDxfId="2">
      <calculatedColumnFormula>IF(Cleanedtable[[#This Row],[Age]]&lt;18, "YES","NO")</calculatedColumnFormula>
    </tableColumn>
    <tableColumn id="16" xr3:uid="{3556722A-08E2-4B53-B5C5-3221BA028DA9}" name="HAD SBLINGS" dataDxfId="1">
      <calculatedColumnFormula>IF(Cleanedtable[[#This Row],[SIBLINGS/SPOUSES]]&gt;0,"YES","NO")</calculatedColumnFormula>
    </tableColumn>
    <tableColumn id="17" xr3:uid="{5CD2E7B7-8630-4A82-B02C-3D3D11FF3959}" name="HAD CHILDREN" dataDxfId="0">
      <calculatedColumnFormula>IF(Cleanedtable[[#This Row],[Parch]]&gt;0,"YES","NO")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6" Type="http://schemas.openxmlformats.org/officeDocument/2006/relationships/drawing" Target="../drawings/drawing16.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2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7.xml"/><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33.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35.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36.xml"/></Relationships>
</file>

<file path=xl/worksheets/_rels/sheet31.xml.rels><?xml version="1.0" encoding="UTF-8" standalone="yes"?>
<Relationships xmlns="http://schemas.openxmlformats.org/package/2006/relationships"><Relationship Id="rId2" Type="http://schemas.openxmlformats.org/officeDocument/2006/relationships/pivotTable" Target="../pivotTables/pivotTable38.xml"/><Relationship Id="rId1" Type="http://schemas.openxmlformats.org/officeDocument/2006/relationships/pivotTable" Target="../pivotTables/pivot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B15D-072A-4813-A2AC-63284BFB764F}">
  <dimension ref="A3:H20"/>
  <sheetViews>
    <sheetView workbookViewId="0">
      <selection activeCell="H8" sqref="H8"/>
    </sheetView>
  </sheetViews>
  <sheetFormatPr defaultRowHeight="14.5" x14ac:dyDescent="0.35"/>
  <cols>
    <col min="5" max="5" width="47.36328125" bestFit="1" customWidth="1"/>
  </cols>
  <sheetData>
    <row r="3" spans="1:8" x14ac:dyDescent="0.35">
      <c r="A3" s="23"/>
      <c r="B3" s="24"/>
      <c r="C3" s="25"/>
      <c r="E3" s="6" t="s">
        <v>965</v>
      </c>
      <c r="F3" s="7" t="s">
        <v>954</v>
      </c>
      <c r="G3">
        <f>SUM('cleaned table'!K2:K420)</f>
        <v>14856.537599999987</v>
      </c>
    </row>
    <row r="4" spans="1:8" x14ac:dyDescent="0.35">
      <c r="A4" s="26"/>
      <c r="B4" s="1"/>
      <c r="C4" s="27"/>
      <c r="F4" s="7" t="s">
        <v>955</v>
      </c>
      <c r="G4">
        <f>MAX('cleaned table'!K2:K420)</f>
        <v>512.32920000000001</v>
      </c>
    </row>
    <row r="5" spans="1:8" x14ac:dyDescent="0.35">
      <c r="A5" s="26"/>
      <c r="B5" s="1"/>
      <c r="C5" s="27"/>
      <c r="F5" s="7" t="s">
        <v>956</v>
      </c>
      <c r="G5" s="20">
        <f>AVERAGE(Cleanedtable[Fare])</f>
        <v>35.627188489208599</v>
      </c>
      <c r="H5" s="20">
        <f>AVERAGE(Cleanedtable[Fare])</f>
        <v>35.627188489208599</v>
      </c>
    </row>
    <row r="6" spans="1:8" x14ac:dyDescent="0.35">
      <c r="A6" s="26"/>
      <c r="B6" s="1"/>
      <c r="C6" s="27"/>
      <c r="F6" s="7" t="s">
        <v>957</v>
      </c>
      <c r="G6">
        <f>MIN(Cleanedtable[Fare])</f>
        <v>0</v>
      </c>
    </row>
    <row r="7" spans="1:8" x14ac:dyDescent="0.35">
      <c r="A7" s="26"/>
      <c r="B7" s="1"/>
      <c r="C7" s="27"/>
    </row>
    <row r="8" spans="1:8" x14ac:dyDescent="0.35">
      <c r="A8" s="26"/>
      <c r="B8" s="1"/>
      <c r="C8" s="27"/>
      <c r="E8" t="s">
        <v>966</v>
      </c>
      <c r="F8" s="7" t="s">
        <v>956</v>
      </c>
      <c r="G8">
        <f>AVERAGE(Cleanedtable[Age])</f>
        <v>30.210287081339743</v>
      </c>
      <c r="H8" s="19">
        <f>AVERAGE(Cleanedtable[Age])</f>
        <v>30.210287081339743</v>
      </c>
    </row>
    <row r="9" spans="1:8" x14ac:dyDescent="0.35">
      <c r="A9" s="26"/>
      <c r="B9" s="1"/>
      <c r="C9" s="27"/>
    </row>
    <row r="10" spans="1:8" x14ac:dyDescent="0.35">
      <c r="A10" s="26"/>
      <c r="B10" s="1"/>
      <c r="C10" s="27"/>
    </row>
    <row r="11" spans="1:8" x14ac:dyDescent="0.35">
      <c r="A11" s="26"/>
      <c r="B11" s="1"/>
      <c r="C11" s="27"/>
    </row>
    <row r="12" spans="1:8" x14ac:dyDescent="0.35">
      <c r="A12" s="26"/>
      <c r="B12" s="1"/>
      <c r="C12" s="27"/>
    </row>
    <row r="13" spans="1:8" x14ac:dyDescent="0.35">
      <c r="A13" s="26"/>
      <c r="B13" s="1"/>
      <c r="C13" s="27"/>
    </row>
    <row r="14" spans="1:8" x14ac:dyDescent="0.35">
      <c r="A14" s="26"/>
      <c r="B14" s="1"/>
      <c r="C14" s="27"/>
    </row>
    <row r="15" spans="1:8" x14ac:dyDescent="0.35">
      <c r="A15" s="26"/>
      <c r="B15" s="1"/>
      <c r="C15" s="27"/>
    </row>
    <row r="16" spans="1:8" x14ac:dyDescent="0.35">
      <c r="A16" s="26"/>
      <c r="B16" s="1"/>
      <c r="C16" s="27"/>
    </row>
    <row r="17" spans="1:3" x14ac:dyDescent="0.35">
      <c r="A17" s="26"/>
      <c r="B17" s="1"/>
      <c r="C17" s="27"/>
    </row>
    <row r="18" spans="1:3" x14ac:dyDescent="0.35">
      <c r="A18" s="26"/>
      <c r="B18" s="1"/>
      <c r="C18" s="27"/>
    </row>
    <row r="19" spans="1:3" x14ac:dyDescent="0.35">
      <c r="A19" s="26"/>
      <c r="B19" s="1"/>
      <c r="C19" s="27"/>
    </row>
    <row r="20" spans="1:3" x14ac:dyDescent="0.35">
      <c r="A20" s="28"/>
      <c r="B20" s="29"/>
      <c r="C20" s="30"/>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C54E-E15D-4D76-902E-F317EF63B179}">
  <dimension ref="A1:T420"/>
  <sheetViews>
    <sheetView topLeftCell="D391" workbookViewId="0">
      <selection activeCell="N419" sqref="N419"/>
    </sheetView>
  </sheetViews>
  <sheetFormatPr defaultRowHeight="14.5" x14ac:dyDescent="0.35"/>
  <cols>
    <col min="1" max="1" width="11.453125" bestFit="1" customWidth="1"/>
    <col min="3" max="3" width="15.90625" bestFit="1" customWidth="1"/>
    <col min="4" max="4" width="58.08984375" bestFit="1" customWidth="1"/>
    <col min="7" max="7" width="16.453125" bestFit="1" customWidth="1"/>
    <col min="13" max="13" width="12" bestFit="1" customWidth="1"/>
    <col min="14" max="14" width="11.7265625" bestFit="1" customWidth="1"/>
    <col min="15" max="15" width="13.36328125" bestFit="1" customWidth="1"/>
    <col min="16" max="16" width="12.6328125" bestFit="1" customWidth="1"/>
    <col min="17" max="17" width="14.1796875" bestFit="1" customWidth="1"/>
    <col min="19" max="19" width="10.90625" bestFit="1" customWidth="1"/>
    <col min="20" max="20" width="12.54296875" bestFit="1" customWidth="1"/>
  </cols>
  <sheetData>
    <row r="1" spans="1:20" x14ac:dyDescent="0.35">
      <c r="A1" t="s">
        <v>607</v>
      </c>
      <c r="B1" t="s">
        <v>0</v>
      </c>
      <c r="C1" t="s">
        <v>609</v>
      </c>
      <c r="D1" t="s">
        <v>2</v>
      </c>
      <c r="E1" t="s">
        <v>3</v>
      </c>
      <c r="F1" t="s">
        <v>4</v>
      </c>
      <c r="G1" t="s">
        <v>608</v>
      </c>
      <c r="H1" t="s">
        <v>618</v>
      </c>
      <c r="I1" t="s">
        <v>6</v>
      </c>
      <c r="J1" t="s">
        <v>7</v>
      </c>
      <c r="K1" t="s">
        <v>8</v>
      </c>
      <c r="L1" t="s">
        <v>9</v>
      </c>
      <c r="M1" t="s">
        <v>610</v>
      </c>
      <c r="N1" t="s">
        <v>611</v>
      </c>
      <c r="O1" t="s">
        <v>613</v>
      </c>
      <c r="P1" t="s">
        <v>612</v>
      </c>
      <c r="Q1" t="s">
        <v>617</v>
      </c>
      <c r="R1" t="s">
        <v>614</v>
      </c>
      <c r="S1" t="s">
        <v>615</v>
      </c>
      <c r="T1" t="s">
        <v>616</v>
      </c>
    </row>
    <row r="2" spans="1:20" x14ac:dyDescent="0.35">
      <c r="A2">
        <v>892</v>
      </c>
      <c r="B2">
        <v>0</v>
      </c>
      <c r="C2">
        <v>3</v>
      </c>
      <c r="D2" t="s">
        <v>10</v>
      </c>
      <c r="E2" t="s">
        <v>11</v>
      </c>
      <c r="F2">
        <v>34.5</v>
      </c>
      <c r="G2">
        <v>0</v>
      </c>
      <c r="H2">
        <v>0</v>
      </c>
      <c r="I2">
        <v>330911</v>
      </c>
      <c r="J2">
        <v>7.8292000000000002</v>
      </c>
      <c r="L2" t="s">
        <v>12</v>
      </c>
      <c r="M2">
        <f>IF(E2="male",1,0)</f>
        <v>1</v>
      </c>
      <c r="N2">
        <f>IF(E3="female",0,1)</f>
        <v>0</v>
      </c>
      <c r="O2">
        <f>AVERAGE(F2:F419)</f>
        <v>30.272590361445783</v>
      </c>
      <c r="P2">
        <f t="shared" ref="P2:P11" si="0">IF(E2="male",F2,"")</f>
        <v>34.5</v>
      </c>
      <c r="Q2">
        <f>IF(E3="female",F3,"")</f>
        <v>47</v>
      </c>
      <c r="R2">
        <f>MAX(F2:F419)</f>
        <v>76</v>
      </c>
      <c r="S2">
        <f>MAX(P2:P419)</f>
        <v>67</v>
      </c>
      <c r="T2">
        <f>MAX(Q2:Q419)</f>
        <v>76</v>
      </c>
    </row>
    <row r="3" spans="1:20" x14ac:dyDescent="0.35">
      <c r="A3">
        <v>893</v>
      </c>
      <c r="B3">
        <v>1</v>
      </c>
      <c r="C3">
        <v>3</v>
      </c>
      <c r="D3" t="s">
        <v>13</v>
      </c>
      <c r="E3" t="s">
        <v>14</v>
      </c>
      <c r="F3">
        <v>47</v>
      </c>
      <c r="G3">
        <v>1</v>
      </c>
      <c r="H3">
        <v>0</v>
      </c>
      <c r="I3">
        <v>363272</v>
      </c>
      <c r="J3">
        <v>7</v>
      </c>
      <c r="L3" t="s">
        <v>15</v>
      </c>
      <c r="M3">
        <f t="shared" ref="M3:M66" si="1">IF(E3="male",1,0)</f>
        <v>0</v>
      </c>
      <c r="N3">
        <f t="shared" ref="N3:N66" si="2">IF(E4="female",0,1)</f>
        <v>1</v>
      </c>
      <c r="P3" t="str">
        <f t="shared" si="0"/>
        <v/>
      </c>
      <c r="Q3" t="str">
        <f t="shared" ref="Q3:Q66" si="3">IF(E4="female",F4,"")</f>
        <v/>
      </c>
    </row>
    <row r="4" spans="1:20" x14ac:dyDescent="0.35">
      <c r="A4">
        <v>894</v>
      </c>
      <c r="B4">
        <v>0</v>
      </c>
      <c r="C4">
        <v>2</v>
      </c>
      <c r="D4" t="s">
        <v>16</v>
      </c>
      <c r="E4" t="s">
        <v>11</v>
      </c>
      <c r="F4">
        <v>62</v>
      </c>
      <c r="G4">
        <v>0</v>
      </c>
      <c r="H4">
        <v>0</v>
      </c>
      <c r="I4">
        <v>240276</v>
      </c>
      <c r="J4">
        <v>9.6875</v>
      </c>
      <c r="L4" t="s">
        <v>12</v>
      </c>
      <c r="M4">
        <f t="shared" si="1"/>
        <v>1</v>
      </c>
      <c r="N4">
        <f t="shared" si="2"/>
        <v>1</v>
      </c>
      <c r="P4">
        <f t="shared" si="0"/>
        <v>62</v>
      </c>
      <c r="Q4" t="str">
        <f t="shared" si="3"/>
        <v/>
      </c>
    </row>
    <row r="5" spans="1:20" x14ac:dyDescent="0.35">
      <c r="A5">
        <v>895</v>
      </c>
      <c r="B5">
        <v>0</v>
      </c>
      <c r="C5">
        <v>3</v>
      </c>
      <c r="D5" t="s">
        <v>17</v>
      </c>
      <c r="E5" t="s">
        <v>11</v>
      </c>
      <c r="F5">
        <v>27</v>
      </c>
      <c r="G5">
        <v>0</v>
      </c>
      <c r="H5">
        <v>0</v>
      </c>
      <c r="I5">
        <v>315154</v>
      </c>
      <c r="J5">
        <v>8.6624999999999996</v>
      </c>
      <c r="L5" t="s">
        <v>15</v>
      </c>
      <c r="M5">
        <f t="shared" si="1"/>
        <v>1</v>
      </c>
      <c r="N5">
        <f t="shared" si="2"/>
        <v>0</v>
      </c>
      <c r="P5">
        <f t="shared" si="0"/>
        <v>27</v>
      </c>
      <c r="Q5">
        <f t="shared" si="3"/>
        <v>22</v>
      </c>
    </row>
    <row r="6" spans="1:20" x14ac:dyDescent="0.35">
      <c r="A6">
        <v>896</v>
      </c>
      <c r="B6">
        <v>1</v>
      </c>
      <c r="C6">
        <v>3</v>
      </c>
      <c r="D6" t="s">
        <v>18</v>
      </c>
      <c r="E6" t="s">
        <v>14</v>
      </c>
      <c r="F6">
        <v>22</v>
      </c>
      <c r="G6">
        <v>1</v>
      </c>
      <c r="H6">
        <v>1</v>
      </c>
      <c r="I6">
        <v>3101298</v>
      </c>
      <c r="J6">
        <v>12.2875</v>
      </c>
      <c r="L6" t="s">
        <v>15</v>
      </c>
      <c r="M6">
        <f t="shared" si="1"/>
        <v>0</v>
      </c>
      <c r="N6">
        <f t="shared" si="2"/>
        <v>1</v>
      </c>
      <c r="P6" t="str">
        <f t="shared" si="0"/>
        <v/>
      </c>
      <c r="Q6" t="str">
        <f t="shared" si="3"/>
        <v/>
      </c>
    </row>
    <row r="7" spans="1:20" x14ac:dyDescent="0.35">
      <c r="A7">
        <v>897</v>
      </c>
      <c r="B7">
        <v>0</v>
      </c>
      <c r="C7">
        <v>3</v>
      </c>
      <c r="D7" t="s">
        <v>19</v>
      </c>
      <c r="E7" t="s">
        <v>11</v>
      </c>
      <c r="F7">
        <v>14</v>
      </c>
      <c r="G7">
        <v>0</v>
      </c>
      <c r="H7">
        <v>0</v>
      </c>
      <c r="I7">
        <v>7538</v>
      </c>
      <c r="J7">
        <v>9.2249999999999996</v>
      </c>
      <c r="L7" t="s">
        <v>15</v>
      </c>
      <c r="M7">
        <f t="shared" si="1"/>
        <v>1</v>
      </c>
      <c r="N7">
        <f t="shared" si="2"/>
        <v>0</v>
      </c>
      <c r="P7">
        <f t="shared" si="0"/>
        <v>14</v>
      </c>
      <c r="Q7">
        <f t="shared" si="3"/>
        <v>30</v>
      </c>
    </row>
    <row r="8" spans="1:20" x14ac:dyDescent="0.35">
      <c r="A8">
        <v>898</v>
      </c>
      <c r="B8">
        <v>1</v>
      </c>
      <c r="C8">
        <v>3</v>
      </c>
      <c r="D8" t="s">
        <v>20</v>
      </c>
      <c r="E8" t="s">
        <v>14</v>
      </c>
      <c r="F8">
        <v>30</v>
      </c>
      <c r="G8">
        <v>0</v>
      </c>
      <c r="H8">
        <v>0</v>
      </c>
      <c r="I8">
        <v>330972</v>
      </c>
      <c r="J8">
        <v>7.6292</v>
      </c>
      <c r="L8" t="s">
        <v>12</v>
      </c>
      <c r="M8">
        <f t="shared" si="1"/>
        <v>0</v>
      </c>
      <c r="N8">
        <f t="shared" si="2"/>
        <v>1</v>
      </c>
      <c r="P8" t="str">
        <f t="shared" si="0"/>
        <v/>
      </c>
      <c r="Q8" t="str">
        <f t="shared" si="3"/>
        <v/>
      </c>
    </row>
    <row r="9" spans="1:20" x14ac:dyDescent="0.35">
      <c r="A9">
        <v>899</v>
      </c>
      <c r="B9">
        <v>0</v>
      </c>
      <c r="C9">
        <v>2</v>
      </c>
      <c r="D9" t="s">
        <v>21</v>
      </c>
      <c r="E9" t="s">
        <v>11</v>
      </c>
      <c r="F9">
        <v>26</v>
      </c>
      <c r="G9">
        <v>1</v>
      </c>
      <c r="H9">
        <v>1</v>
      </c>
      <c r="I9">
        <v>248738</v>
      </c>
      <c r="J9">
        <v>29</v>
      </c>
      <c r="L9" t="s">
        <v>15</v>
      </c>
      <c r="M9">
        <f t="shared" si="1"/>
        <v>1</v>
      </c>
      <c r="N9">
        <f t="shared" si="2"/>
        <v>0</v>
      </c>
      <c r="P9">
        <f t="shared" si="0"/>
        <v>26</v>
      </c>
      <c r="Q9">
        <f t="shared" si="3"/>
        <v>18</v>
      </c>
    </row>
    <row r="10" spans="1:20" x14ac:dyDescent="0.35">
      <c r="A10">
        <v>900</v>
      </c>
      <c r="B10">
        <v>1</v>
      </c>
      <c r="C10">
        <v>3</v>
      </c>
      <c r="D10" t="s">
        <v>22</v>
      </c>
      <c r="E10" t="s">
        <v>14</v>
      </c>
      <c r="F10">
        <v>18</v>
      </c>
      <c r="G10">
        <v>0</v>
      </c>
      <c r="H10">
        <v>0</v>
      </c>
      <c r="I10">
        <v>2657</v>
      </c>
      <c r="J10">
        <v>7.2291999999999996</v>
      </c>
      <c r="L10" t="s">
        <v>23</v>
      </c>
      <c r="M10">
        <f t="shared" si="1"/>
        <v>0</v>
      </c>
      <c r="N10">
        <f t="shared" si="2"/>
        <v>1</v>
      </c>
      <c r="P10" t="str">
        <f t="shared" si="0"/>
        <v/>
      </c>
      <c r="Q10" t="str">
        <f t="shared" si="3"/>
        <v/>
      </c>
    </row>
    <row r="11" spans="1:20" x14ac:dyDescent="0.35">
      <c r="A11">
        <v>901</v>
      </c>
      <c r="B11">
        <v>0</v>
      </c>
      <c r="C11">
        <v>3</v>
      </c>
      <c r="D11" t="s">
        <v>24</v>
      </c>
      <c r="E11" t="s">
        <v>11</v>
      </c>
      <c r="F11">
        <v>21</v>
      </c>
      <c r="G11">
        <v>2</v>
      </c>
      <c r="H11">
        <v>0</v>
      </c>
      <c r="I11" t="s">
        <v>25</v>
      </c>
      <c r="J11">
        <v>24.15</v>
      </c>
      <c r="L11" t="s">
        <v>15</v>
      </c>
      <c r="M11">
        <f t="shared" si="1"/>
        <v>1</v>
      </c>
      <c r="N11">
        <f t="shared" si="2"/>
        <v>1</v>
      </c>
      <c r="P11">
        <f t="shared" si="0"/>
        <v>21</v>
      </c>
      <c r="Q11" t="str">
        <f t="shared" si="3"/>
        <v/>
      </c>
    </row>
    <row r="12" spans="1:20" x14ac:dyDescent="0.35">
      <c r="A12">
        <v>902</v>
      </c>
      <c r="B12">
        <v>0</v>
      </c>
      <c r="C12">
        <v>3</v>
      </c>
      <c r="D12" t="s">
        <v>26</v>
      </c>
      <c r="E12" t="s">
        <v>11</v>
      </c>
      <c r="G12">
        <v>0</v>
      </c>
      <c r="H12">
        <v>0</v>
      </c>
      <c r="I12">
        <v>349220</v>
      </c>
      <c r="J12">
        <v>7.8958000000000004</v>
      </c>
      <c r="L12" t="s">
        <v>15</v>
      </c>
      <c r="M12">
        <f t="shared" si="1"/>
        <v>1</v>
      </c>
      <c r="N12">
        <f t="shared" si="2"/>
        <v>1</v>
      </c>
      <c r="Q12" t="str">
        <f t="shared" si="3"/>
        <v/>
      </c>
    </row>
    <row r="13" spans="1:20" x14ac:dyDescent="0.35">
      <c r="A13">
        <v>903</v>
      </c>
      <c r="B13">
        <v>0</v>
      </c>
      <c r="C13">
        <v>1</v>
      </c>
      <c r="D13" t="s">
        <v>27</v>
      </c>
      <c r="E13" t="s">
        <v>11</v>
      </c>
      <c r="F13">
        <v>46</v>
      </c>
      <c r="G13">
        <v>0</v>
      </c>
      <c r="H13">
        <v>0</v>
      </c>
      <c r="I13">
        <v>694</v>
      </c>
      <c r="J13">
        <v>26</v>
      </c>
      <c r="L13" t="s">
        <v>15</v>
      </c>
      <c r="M13">
        <f t="shared" si="1"/>
        <v>1</v>
      </c>
      <c r="N13">
        <f t="shared" si="2"/>
        <v>0</v>
      </c>
      <c r="P13">
        <f t="shared" ref="P13:P30" si="4">IF(E13="male",F13,"")</f>
        <v>46</v>
      </c>
      <c r="Q13">
        <f t="shared" si="3"/>
        <v>23</v>
      </c>
    </row>
    <row r="14" spans="1:20" x14ac:dyDescent="0.35">
      <c r="A14">
        <v>904</v>
      </c>
      <c r="B14">
        <v>1</v>
      </c>
      <c r="C14">
        <v>1</v>
      </c>
      <c r="D14" t="s">
        <v>28</v>
      </c>
      <c r="E14" t="s">
        <v>14</v>
      </c>
      <c r="F14">
        <v>23</v>
      </c>
      <c r="G14">
        <v>1</v>
      </c>
      <c r="H14">
        <v>0</v>
      </c>
      <c r="I14">
        <v>21228</v>
      </c>
      <c r="J14">
        <v>82.2667</v>
      </c>
      <c r="K14" t="s">
        <v>29</v>
      </c>
      <c r="L14" t="s">
        <v>15</v>
      </c>
      <c r="M14">
        <f t="shared" si="1"/>
        <v>0</v>
      </c>
      <c r="N14">
        <f t="shared" si="2"/>
        <v>1</v>
      </c>
      <c r="P14" t="str">
        <f t="shared" si="4"/>
        <v/>
      </c>
      <c r="Q14" t="str">
        <f t="shared" si="3"/>
        <v/>
      </c>
    </row>
    <row r="15" spans="1:20" x14ac:dyDescent="0.35">
      <c r="A15">
        <v>905</v>
      </c>
      <c r="B15">
        <v>0</v>
      </c>
      <c r="C15">
        <v>2</v>
      </c>
      <c r="D15" t="s">
        <v>30</v>
      </c>
      <c r="E15" t="s">
        <v>11</v>
      </c>
      <c r="F15">
        <v>63</v>
      </c>
      <c r="G15">
        <v>1</v>
      </c>
      <c r="H15">
        <v>0</v>
      </c>
      <c r="I15">
        <v>24065</v>
      </c>
      <c r="J15">
        <v>26</v>
      </c>
      <c r="L15" t="s">
        <v>15</v>
      </c>
      <c r="M15">
        <f t="shared" si="1"/>
        <v>1</v>
      </c>
      <c r="N15">
        <f t="shared" si="2"/>
        <v>0</v>
      </c>
      <c r="P15">
        <f t="shared" si="4"/>
        <v>63</v>
      </c>
      <c r="Q15">
        <f t="shared" si="3"/>
        <v>47</v>
      </c>
    </row>
    <row r="16" spans="1:20" x14ac:dyDescent="0.35">
      <c r="A16">
        <v>906</v>
      </c>
      <c r="B16">
        <v>1</v>
      </c>
      <c r="C16">
        <v>1</v>
      </c>
      <c r="D16" t="s">
        <v>31</v>
      </c>
      <c r="E16" t="s">
        <v>14</v>
      </c>
      <c r="F16">
        <v>47</v>
      </c>
      <c r="G16">
        <v>1</v>
      </c>
      <c r="H16">
        <v>0</v>
      </c>
      <c r="I16" t="s">
        <v>32</v>
      </c>
      <c r="J16">
        <v>61.174999999999997</v>
      </c>
      <c r="K16" t="s">
        <v>33</v>
      </c>
      <c r="L16" t="s">
        <v>15</v>
      </c>
      <c r="M16">
        <f t="shared" si="1"/>
        <v>0</v>
      </c>
      <c r="N16">
        <f t="shared" si="2"/>
        <v>0</v>
      </c>
      <c r="P16" t="str">
        <f t="shared" si="4"/>
        <v/>
      </c>
      <c r="Q16">
        <f t="shared" si="3"/>
        <v>24</v>
      </c>
    </row>
    <row r="17" spans="1:17" x14ac:dyDescent="0.35">
      <c r="A17">
        <v>907</v>
      </c>
      <c r="B17">
        <v>1</v>
      </c>
      <c r="C17">
        <v>2</v>
      </c>
      <c r="D17" t="s">
        <v>34</v>
      </c>
      <c r="E17" t="s">
        <v>14</v>
      </c>
      <c r="F17">
        <v>24</v>
      </c>
      <c r="G17">
        <v>1</v>
      </c>
      <c r="H17">
        <v>0</v>
      </c>
      <c r="I17" t="s">
        <v>35</v>
      </c>
      <c r="J17">
        <v>27.720800000000001</v>
      </c>
      <c r="L17" t="s">
        <v>23</v>
      </c>
      <c r="M17">
        <f t="shared" si="1"/>
        <v>0</v>
      </c>
      <c r="N17">
        <f t="shared" si="2"/>
        <v>1</v>
      </c>
      <c r="P17" t="str">
        <f t="shared" si="4"/>
        <v/>
      </c>
      <c r="Q17" t="str">
        <f t="shared" si="3"/>
        <v/>
      </c>
    </row>
    <row r="18" spans="1:17" x14ac:dyDescent="0.35">
      <c r="A18">
        <v>908</v>
      </c>
      <c r="B18">
        <v>0</v>
      </c>
      <c r="C18">
        <v>2</v>
      </c>
      <c r="D18" t="s">
        <v>36</v>
      </c>
      <c r="E18" t="s">
        <v>11</v>
      </c>
      <c r="F18">
        <v>35</v>
      </c>
      <c r="G18">
        <v>0</v>
      </c>
      <c r="H18">
        <v>0</v>
      </c>
      <c r="I18">
        <v>233734</v>
      </c>
      <c r="J18">
        <v>12.35</v>
      </c>
      <c r="L18" t="s">
        <v>12</v>
      </c>
      <c r="M18">
        <f t="shared" si="1"/>
        <v>1</v>
      </c>
      <c r="N18">
        <f t="shared" si="2"/>
        <v>1</v>
      </c>
      <c r="P18">
        <f t="shared" si="4"/>
        <v>35</v>
      </c>
      <c r="Q18" t="str">
        <f t="shared" si="3"/>
        <v/>
      </c>
    </row>
    <row r="19" spans="1:17" x14ac:dyDescent="0.35">
      <c r="A19">
        <v>909</v>
      </c>
      <c r="B19">
        <v>0</v>
      </c>
      <c r="C19">
        <v>3</v>
      </c>
      <c r="D19" t="s">
        <v>37</v>
      </c>
      <c r="E19" t="s">
        <v>11</v>
      </c>
      <c r="F19">
        <v>21</v>
      </c>
      <c r="G19">
        <v>0</v>
      </c>
      <c r="H19">
        <v>0</v>
      </c>
      <c r="I19">
        <v>2692</v>
      </c>
      <c r="J19">
        <v>7.2249999999999996</v>
      </c>
      <c r="L19" t="s">
        <v>23</v>
      </c>
      <c r="M19">
        <f t="shared" si="1"/>
        <v>1</v>
      </c>
      <c r="N19">
        <f t="shared" si="2"/>
        <v>0</v>
      </c>
      <c r="P19">
        <f t="shared" si="4"/>
        <v>21</v>
      </c>
      <c r="Q19">
        <f t="shared" si="3"/>
        <v>27</v>
      </c>
    </row>
    <row r="20" spans="1:17" x14ac:dyDescent="0.35">
      <c r="A20">
        <v>910</v>
      </c>
      <c r="B20">
        <v>1</v>
      </c>
      <c r="C20">
        <v>3</v>
      </c>
      <c r="D20" t="s">
        <v>38</v>
      </c>
      <c r="E20" t="s">
        <v>14</v>
      </c>
      <c r="F20">
        <v>27</v>
      </c>
      <c r="G20">
        <v>1</v>
      </c>
      <c r="H20">
        <v>0</v>
      </c>
      <c r="I20" t="s">
        <v>39</v>
      </c>
      <c r="J20">
        <v>7.9249999999999998</v>
      </c>
      <c r="L20" t="s">
        <v>15</v>
      </c>
      <c r="M20">
        <f t="shared" si="1"/>
        <v>0</v>
      </c>
      <c r="N20">
        <f t="shared" si="2"/>
        <v>0</v>
      </c>
      <c r="P20" t="str">
        <f t="shared" si="4"/>
        <v/>
      </c>
      <c r="Q20">
        <f t="shared" si="3"/>
        <v>45</v>
      </c>
    </row>
    <row r="21" spans="1:17" x14ac:dyDescent="0.35">
      <c r="A21">
        <v>911</v>
      </c>
      <c r="B21">
        <v>1</v>
      </c>
      <c r="C21">
        <v>3</v>
      </c>
      <c r="D21" t="s">
        <v>40</v>
      </c>
      <c r="E21" t="s">
        <v>14</v>
      </c>
      <c r="F21">
        <v>45</v>
      </c>
      <c r="G21">
        <v>0</v>
      </c>
      <c r="H21">
        <v>0</v>
      </c>
      <c r="I21">
        <v>2696</v>
      </c>
      <c r="J21">
        <v>7.2249999999999996</v>
      </c>
      <c r="L21" t="s">
        <v>23</v>
      </c>
      <c r="M21">
        <f t="shared" si="1"/>
        <v>0</v>
      </c>
      <c r="N21">
        <f t="shared" si="2"/>
        <v>1</v>
      </c>
      <c r="P21" t="str">
        <f t="shared" si="4"/>
        <v/>
      </c>
      <c r="Q21" t="str">
        <f t="shared" si="3"/>
        <v/>
      </c>
    </row>
    <row r="22" spans="1:17" x14ac:dyDescent="0.35">
      <c r="A22">
        <v>912</v>
      </c>
      <c r="B22">
        <v>0</v>
      </c>
      <c r="C22">
        <v>1</v>
      </c>
      <c r="D22" t="s">
        <v>41</v>
      </c>
      <c r="E22" t="s">
        <v>11</v>
      </c>
      <c r="F22">
        <v>55</v>
      </c>
      <c r="G22">
        <v>1</v>
      </c>
      <c r="H22">
        <v>0</v>
      </c>
      <c r="I22" t="s">
        <v>42</v>
      </c>
      <c r="J22">
        <v>59.4</v>
      </c>
      <c r="L22" t="s">
        <v>23</v>
      </c>
      <c r="M22">
        <f t="shared" si="1"/>
        <v>1</v>
      </c>
      <c r="N22">
        <f t="shared" si="2"/>
        <v>1</v>
      </c>
      <c r="P22">
        <f t="shared" si="4"/>
        <v>55</v>
      </c>
      <c r="Q22" t="str">
        <f t="shared" si="3"/>
        <v/>
      </c>
    </row>
    <row r="23" spans="1:17" x14ac:dyDescent="0.35">
      <c r="A23">
        <v>913</v>
      </c>
      <c r="B23">
        <v>0</v>
      </c>
      <c r="C23">
        <v>3</v>
      </c>
      <c r="D23" t="s">
        <v>43</v>
      </c>
      <c r="E23" t="s">
        <v>11</v>
      </c>
      <c r="F23">
        <v>9</v>
      </c>
      <c r="G23">
        <v>0</v>
      </c>
      <c r="H23">
        <v>1</v>
      </c>
      <c r="I23" t="s">
        <v>44</v>
      </c>
      <c r="J23">
        <v>3.1707999999999998</v>
      </c>
      <c r="L23" t="s">
        <v>15</v>
      </c>
      <c r="M23">
        <f t="shared" si="1"/>
        <v>1</v>
      </c>
      <c r="N23">
        <f t="shared" si="2"/>
        <v>0</v>
      </c>
      <c r="P23">
        <f t="shared" si="4"/>
        <v>9</v>
      </c>
      <c r="Q23">
        <f t="shared" si="3"/>
        <v>0</v>
      </c>
    </row>
    <row r="24" spans="1:17" x14ac:dyDescent="0.35">
      <c r="A24">
        <v>914</v>
      </c>
      <c r="B24">
        <v>1</v>
      </c>
      <c r="C24">
        <v>1</v>
      </c>
      <c r="D24" t="s">
        <v>45</v>
      </c>
      <c r="E24" t="s">
        <v>14</v>
      </c>
      <c r="G24">
        <v>0</v>
      </c>
      <c r="H24">
        <v>0</v>
      </c>
      <c r="I24" t="s">
        <v>46</v>
      </c>
      <c r="J24">
        <v>31.683299999999999</v>
      </c>
      <c r="L24" t="s">
        <v>15</v>
      </c>
      <c r="M24">
        <f t="shared" si="1"/>
        <v>0</v>
      </c>
      <c r="N24">
        <f t="shared" si="2"/>
        <v>1</v>
      </c>
      <c r="P24" t="str">
        <f t="shared" si="4"/>
        <v/>
      </c>
      <c r="Q24" t="str">
        <f t="shared" si="3"/>
        <v/>
      </c>
    </row>
    <row r="25" spans="1:17" x14ac:dyDescent="0.35">
      <c r="A25">
        <v>915</v>
      </c>
      <c r="B25">
        <v>0</v>
      </c>
      <c r="C25">
        <v>1</v>
      </c>
      <c r="D25" t="s">
        <v>47</v>
      </c>
      <c r="E25" t="s">
        <v>11</v>
      </c>
      <c r="F25">
        <v>21</v>
      </c>
      <c r="G25">
        <v>0</v>
      </c>
      <c r="H25">
        <v>1</v>
      </c>
      <c r="I25" t="s">
        <v>48</v>
      </c>
      <c r="J25">
        <v>61.379199999999997</v>
      </c>
      <c r="L25" t="s">
        <v>23</v>
      </c>
      <c r="M25">
        <f t="shared" si="1"/>
        <v>1</v>
      </c>
      <c r="N25">
        <f t="shared" si="2"/>
        <v>0</v>
      </c>
      <c r="P25">
        <f t="shared" si="4"/>
        <v>21</v>
      </c>
      <c r="Q25">
        <f t="shared" si="3"/>
        <v>48</v>
      </c>
    </row>
    <row r="26" spans="1:17" x14ac:dyDescent="0.35">
      <c r="A26">
        <v>916</v>
      </c>
      <c r="B26">
        <v>1</v>
      </c>
      <c r="C26">
        <v>1</v>
      </c>
      <c r="D26" t="s">
        <v>49</v>
      </c>
      <c r="E26" t="s">
        <v>14</v>
      </c>
      <c r="F26">
        <v>48</v>
      </c>
      <c r="G26">
        <v>1</v>
      </c>
      <c r="H26">
        <v>3</v>
      </c>
      <c r="I26" t="s">
        <v>50</v>
      </c>
      <c r="J26">
        <v>262.375</v>
      </c>
      <c r="K26" t="s">
        <v>51</v>
      </c>
      <c r="L26" t="s">
        <v>23</v>
      </c>
      <c r="M26">
        <f t="shared" si="1"/>
        <v>0</v>
      </c>
      <c r="N26">
        <f t="shared" si="2"/>
        <v>1</v>
      </c>
      <c r="P26" t="str">
        <f t="shared" si="4"/>
        <v/>
      </c>
      <c r="Q26" t="str">
        <f t="shared" si="3"/>
        <v/>
      </c>
    </row>
    <row r="27" spans="1:17" x14ac:dyDescent="0.35">
      <c r="A27">
        <v>917</v>
      </c>
      <c r="B27">
        <v>0</v>
      </c>
      <c r="C27">
        <v>3</v>
      </c>
      <c r="D27" t="s">
        <v>52</v>
      </c>
      <c r="E27" t="s">
        <v>11</v>
      </c>
      <c r="F27">
        <v>50</v>
      </c>
      <c r="G27">
        <v>1</v>
      </c>
      <c r="H27">
        <v>0</v>
      </c>
      <c r="I27" t="s">
        <v>53</v>
      </c>
      <c r="J27">
        <v>14.5</v>
      </c>
      <c r="L27" t="s">
        <v>15</v>
      </c>
      <c r="M27">
        <f t="shared" si="1"/>
        <v>1</v>
      </c>
      <c r="N27">
        <f t="shared" si="2"/>
        <v>0</v>
      </c>
      <c r="P27">
        <f t="shared" si="4"/>
        <v>50</v>
      </c>
      <c r="Q27">
        <f t="shared" si="3"/>
        <v>22</v>
      </c>
    </row>
    <row r="28" spans="1:17" x14ac:dyDescent="0.35">
      <c r="A28">
        <v>918</v>
      </c>
      <c r="B28">
        <v>1</v>
      </c>
      <c r="C28">
        <v>1</v>
      </c>
      <c r="D28" t="s">
        <v>54</v>
      </c>
      <c r="E28" t="s">
        <v>14</v>
      </c>
      <c r="F28">
        <v>22</v>
      </c>
      <c r="G28">
        <v>0</v>
      </c>
      <c r="H28">
        <v>1</v>
      </c>
      <c r="I28">
        <v>113509</v>
      </c>
      <c r="J28">
        <v>61.979199999999999</v>
      </c>
      <c r="K28" t="s">
        <v>55</v>
      </c>
      <c r="L28" t="s">
        <v>23</v>
      </c>
      <c r="M28">
        <f t="shared" si="1"/>
        <v>0</v>
      </c>
      <c r="N28">
        <f t="shared" si="2"/>
        <v>1</v>
      </c>
      <c r="P28" t="str">
        <f t="shared" si="4"/>
        <v/>
      </c>
      <c r="Q28" t="str">
        <f t="shared" si="3"/>
        <v/>
      </c>
    </row>
    <row r="29" spans="1:17" x14ac:dyDescent="0.35">
      <c r="A29">
        <v>919</v>
      </c>
      <c r="B29">
        <v>0</v>
      </c>
      <c r="C29">
        <v>3</v>
      </c>
      <c r="D29" t="s">
        <v>56</v>
      </c>
      <c r="E29" t="s">
        <v>11</v>
      </c>
      <c r="F29">
        <v>22.5</v>
      </c>
      <c r="G29">
        <v>0</v>
      </c>
      <c r="H29">
        <v>0</v>
      </c>
      <c r="I29">
        <v>2698</v>
      </c>
      <c r="J29">
        <v>7.2249999999999996</v>
      </c>
      <c r="L29" t="s">
        <v>23</v>
      </c>
      <c r="M29">
        <f t="shared" si="1"/>
        <v>1</v>
      </c>
      <c r="N29">
        <f t="shared" si="2"/>
        <v>1</v>
      </c>
      <c r="P29">
        <f t="shared" si="4"/>
        <v>22.5</v>
      </c>
      <c r="Q29" t="str">
        <f t="shared" si="3"/>
        <v/>
      </c>
    </row>
    <row r="30" spans="1:17" x14ac:dyDescent="0.35">
      <c r="A30">
        <v>920</v>
      </c>
      <c r="B30">
        <v>0</v>
      </c>
      <c r="C30">
        <v>1</v>
      </c>
      <c r="D30" t="s">
        <v>57</v>
      </c>
      <c r="E30" t="s">
        <v>11</v>
      </c>
      <c r="F30">
        <v>41</v>
      </c>
      <c r="G30">
        <v>0</v>
      </c>
      <c r="H30">
        <v>0</v>
      </c>
      <c r="I30">
        <v>113054</v>
      </c>
      <c r="J30">
        <v>30.5</v>
      </c>
      <c r="K30" t="s">
        <v>58</v>
      </c>
      <c r="L30" t="s">
        <v>15</v>
      </c>
      <c r="M30">
        <f t="shared" si="1"/>
        <v>1</v>
      </c>
      <c r="N30">
        <f t="shared" si="2"/>
        <v>1</v>
      </c>
      <c r="P30">
        <f t="shared" si="4"/>
        <v>41</v>
      </c>
      <c r="Q30" t="str">
        <f t="shared" si="3"/>
        <v/>
      </c>
    </row>
    <row r="31" spans="1:17" x14ac:dyDescent="0.35">
      <c r="A31">
        <v>921</v>
      </c>
      <c r="B31">
        <v>0</v>
      </c>
      <c r="C31">
        <v>3</v>
      </c>
      <c r="D31" t="s">
        <v>59</v>
      </c>
      <c r="E31" t="s">
        <v>11</v>
      </c>
      <c r="G31">
        <v>2</v>
      </c>
      <c r="H31">
        <v>0</v>
      </c>
      <c r="I31">
        <v>2662</v>
      </c>
      <c r="J31">
        <v>21.679200000000002</v>
      </c>
      <c r="L31" t="s">
        <v>23</v>
      </c>
      <c r="M31">
        <f t="shared" si="1"/>
        <v>1</v>
      </c>
      <c r="N31">
        <f t="shared" si="2"/>
        <v>1</v>
      </c>
      <c r="Q31" t="str">
        <f t="shared" si="3"/>
        <v/>
      </c>
    </row>
    <row r="32" spans="1:17" x14ac:dyDescent="0.35">
      <c r="A32">
        <v>922</v>
      </c>
      <c r="B32">
        <v>0</v>
      </c>
      <c r="C32">
        <v>2</v>
      </c>
      <c r="D32" t="s">
        <v>60</v>
      </c>
      <c r="E32" t="s">
        <v>11</v>
      </c>
      <c r="F32">
        <v>50</v>
      </c>
      <c r="G32">
        <v>1</v>
      </c>
      <c r="H32">
        <v>0</v>
      </c>
      <c r="I32" t="s">
        <v>61</v>
      </c>
      <c r="J32">
        <v>26</v>
      </c>
      <c r="L32" t="s">
        <v>15</v>
      </c>
      <c r="M32">
        <f t="shared" si="1"/>
        <v>1</v>
      </c>
      <c r="N32">
        <f t="shared" si="2"/>
        <v>1</v>
      </c>
      <c r="P32">
        <f t="shared" ref="P32:P40" si="5">IF(E32="male",F32,"")</f>
        <v>50</v>
      </c>
      <c r="Q32" t="str">
        <f t="shared" si="3"/>
        <v/>
      </c>
    </row>
    <row r="33" spans="1:17" x14ac:dyDescent="0.35">
      <c r="A33">
        <v>923</v>
      </c>
      <c r="B33">
        <v>0</v>
      </c>
      <c r="C33">
        <v>2</v>
      </c>
      <c r="D33" t="s">
        <v>62</v>
      </c>
      <c r="E33" t="s">
        <v>11</v>
      </c>
      <c r="F33">
        <v>24</v>
      </c>
      <c r="G33">
        <v>2</v>
      </c>
      <c r="H33">
        <v>0</v>
      </c>
      <c r="I33" t="s">
        <v>63</v>
      </c>
      <c r="J33">
        <v>31.5</v>
      </c>
      <c r="L33" t="s">
        <v>15</v>
      </c>
      <c r="M33">
        <f t="shared" si="1"/>
        <v>1</v>
      </c>
      <c r="N33">
        <f t="shared" si="2"/>
        <v>0</v>
      </c>
      <c r="P33">
        <f t="shared" si="5"/>
        <v>24</v>
      </c>
      <c r="Q33">
        <f t="shared" si="3"/>
        <v>33</v>
      </c>
    </row>
    <row r="34" spans="1:17" x14ac:dyDescent="0.35">
      <c r="A34">
        <v>924</v>
      </c>
      <c r="B34">
        <v>1</v>
      </c>
      <c r="C34">
        <v>3</v>
      </c>
      <c r="D34" t="s">
        <v>64</v>
      </c>
      <c r="E34" t="s">
        <v>14</v>
      </c>
      <c r="F34">
        <v>33</v>
      </c>
      <c r="G34">
        <v>1</v>
      </c>
      <c r="H34">
        <v>2</v>
      </c>
      <c r="I34" t="s">
        <v>65</v>
      </c>
      <c r="J34">
        <v>20.574999999999999</v>
      </c>
      <c r="L34" t="s">
        <v>15</v>
      </c>
      <c r="M34">
        <f t="shared" si="1"/>
        <v>0</v>
      </c>
      <c r="N34">
        <f t="shared" si="2"/>
        <v>0</v>
      </c>
      <c r="P34" t="str">
        <f t="shared" si="5"/>
        <v/>
      </c>
      <c r="Q34">
        <f t="shared" si="3"/>
        <v>0</v>
      </c>
    </row>
    <row r="35" spans="1:17" x14ac:dyDescent="0.35">
      <c r="A35">
        <v>925</v>
      </c>
      <c r="B35">
        <v>1</v>
      </c>
      <c r="C35">
        <v>3</v>
      </c>
      <c r="D35" t="s">
        <v>66</v>
      </c>
      <c r="E35" t="s">
        <v>14</v>
      </c>
      <c r="G35">
        <v>1</v>
      </c>
      <c r="H35">
        <v>2</v>
      </c>
      <c r="I35" t="s">
        <v>67</v>
      </c>
      <c r="J35">
        <v>23.45</v>
      </c>
      <c r="L35" t="s">
        <v>15</v>
      </c>
      <c r="M35">
        <f t="shared" si="1"/>
        <v>0</v>
      </c>
      <c r="N35">
        <f t="shared" si="2"/>
        <v>1</v>
      </c>
      <c r="P35" t="str">
        <f t="shared" si="5"/>
        <v/>
      </c>
      <c r="Q35" t="str">
        <f t="shared" si="3"/>
        <v/>
      </c>
    </row>
    <row r="36" spans="1:17" x14ac:dyDescent="0.35">
      <c r="A36">
        <v>926</v>
      </c>
      <c r="B36">
        <v>0</v>
      </c>
      <c r="C36">
        <v>1</v>
      </c>
      <c r="D36" t="s">
        <v>68</v>
      </c>
      <c r="E36" t="s">
        <v>11</v>
      </c>
      <c r="F36">
        <v>30</v>
      </c>
      <c r="G36">
        <v>1</v>
      </c>
      <c r="H36">
        <v>0</v>
      </c>
      <c r="I36">
        <v>13236</v>
      </c>
      <c r="J36">
        <v>57.75</v>
      </c>
      <c r="K36" t="s">
        <v>69</v>
      </c>
      <c r="L36" t="s">
        <v>23</v>
      </c>
      <c r="M36">
        <f t="shared" si="1"/>
        <v>1</v>
      </c>
      <c r="N36">
        <f t="shared" si="2"/>
        <v>1</v>
      </c>
      <c r="P36">
        <f t="shared" si="5"/>
        <v>30</v>
      </c>
      <c r="Q36" t="str">
        <f t="shared" si="3"/>
        <v/>
      </c>
    </row>
    <row r="37" spans="1:17" x14ac:dyDescent="0.35">
      <c r="A37">
        <v>927</v>
      </c>
      <c r="B37">
        <v>0</v>
      </c>
      <c r="C37">
        <v>3</v>
      </c>
      <c r="D37" t="s">
        <v>70</v>
      </c>
      <c r="E37" t="s">
        <v>11</v>
      </c>
      <c r="F37">
        <v>18.5</v>
      </c>
      <c r="G37">
        <v>0</v>
      </c>
      <c r="H37">
        <v>0</v>
      </c>
      <c r="I37">
        <v>2682</v>
      </c>
      <c r="J37">
        <v>7.2291999999999996</v>
      </c>
      <c r="L37" t="s">
        <v>23</v>
      </c>
      <c r="M37">
        <f t="shared" si="1"/>
        <v>1</v>
      </c>
      <c r="N37">
        <f t="shared" si="2"/>
        <v>0</v>
      </c>
      <c r="P37">
        <f t="shared" si="5"/>
        <v>18.5</v>
      </c>
      <c r="Q37">
        <f t="shared" si="3"/>
        <v>0</v>
      </c>
    </row>
    <row r="38" spans="1:17" x14ac:dyDescent="0.35">
      <c r="A38">
        <v>928</v>
      </c>
      <c r="B38">
        <v>1</v>
      </c>
      <c r="C38">
        <v>3</v>
      </c>
      <c r="D38" t="s">
        <v>71</v>
      </c>
      <c r="E38" t="s">
        <v>14</v>
      </c>
      <c r="G38">
        <v>0</v>
      </c>
      <c r="H38">
        <v>0</v>
      </c>
      <c r="I38">
        <v>342712</v>
      </c>
      <c r="J38">
        <v>8.0500000000000007</v>
      </c>
      <c r="L38" t="s">
        <v>15</v>
      </c>
      <c r="M38">
        <f t="shared" si="1"/>
        <v>0</v>
      </c>
      <c r="N38">
        <f t="shared" si="2"/>
        <v>0</v>
      </c>
      <c r="P38" t="str">
        <f t="shared" si="5"/>
        <v/>
      </c>
      <c r="Q38">
        <f t="shared" si="3"/>
        <v>21</v>
      </c>
    </row>
    <row r="39" spans="1:17" x14ac:dyDescent="0.35">
      <c r="A39">
        <v>929</v>
      </c>
      <c r="B39">
        <v>1</v>
      </c>
      <c r="C39">
        <v>3</v>
      </c>
      <c r="D39" t="s">
        <v>72</v>
      </c>
      <c r="E39" t="s">
        <v>14</v>
      </c>
      <c r="F39">
        <v>21</v>
      </c>
      <c r="G39">
        <v>0</v>
      </c>
      <c r="H39">
        <v>0</v>
      </c>
      <c r="I39">
        <v>315087</v>
      </c>
      <c r="J39">
        <v>8.6624999999999996</v>
      </c>
      <c r="L39" t="s">
        <v>15</v>
      </c>
      <c r="M39">
        <f t="shared" si="1"/>
        <v>0</v>
      </c>
      <c r="N39">
        <f t="shared" si="2"/>
        <v>1</v>
      </c>
      <c r="P39" t="str">
        <f t="shared" si="5"/>
        <v/>
      </c>
      <c r="Q39" t="str">
        <f t="shared" si="3"/>
        <v/>
      </c>
    </row>
    <row r="40" spans="1:17" x14ac:dyDescent="0.35">
      <c r="A40">
        <v>930</v>
      </c>
      <c r="B40">
        <v>0</v>
      </c>
      <c r="C40">
        <v>3</v>
      </c>
      <c r="D40" t="s">
        <v>73</v>
      </c>
      <c r="E40" t="s">
        <v>11</v>
      </c>
      <c r="F40">
        <v>25</v>
      </c>
      <c r="G40">
        <v>0</v>
      </c>
      <c r="H40">
        <v>0</v>
      </c>
      <c r="I40">
        <v>345768</v>
      </c>
      <c r="J40">
        <v>9.5</v>
      </c>
      <c r="L40" t="s">
        <v>15</v>
      </c>
      <c r="M40">
        <f t="shared" si="1"/>
        <v>1</v>
      </c>
      <c r="N40">
        <f t="shared" si="2"/>
        <v>1</v>
      </c>
      <c r="P40">
        <f t="shared" si="5"/>
        <v>25</v>
      </c>
      <c r="Q40" t="str">
        <f t="shared" si="3"/>
        <v/>
      </c>
    </row>
    <row r="41" spans="1:17" x14ac:dyDescent="0.35">
      <c r="A41">
        <v>931</v>
      </c>
      <c r="B41">
        <v>0</v>
      </c>
      <c r="C41">
        <v>3</v>
      </c>
      <c r="D41" t="s">
        <v>74</v>
      </c>
      <c r="E41" t="s">
        <v>11</v>
      </c>
      <c r="G41">
        <v>0</v>
      </c>
      <c r="H41">
        <v>0</v>
      </c>
      <c r="I41">
        <v>1601</v>
      </c>
      <c r="J41">
        <v>56.495800000000003</v>
      </c>
      <c r="L41" t="s">
        <v>15</v>
      </c>
      <c r="M41">
        <f t="shared" si="1"/>
        <v>1</v>
      </c>
      <c r="N41">
        <f t="shared" si="2"/>
        <v>1</v>
      </c>
      <c r="Q41" t="str">
        <f t="shared" si="3"/>
        <v/>
      </c>
    </row>
    <row r="42" spans="1:17" x14ac:dyDescent="0.35">
      <c r="A42">
        <v>932</v>
      </c>
      <c r="B42">
        <v>0</v>
      </c>
      <c r="C42">
        <v>3</v>
      </c>
      <c r="D42" t="s">
        <v>75</v>
      </c>
      <c r="E42" t="s">
        <v>11</v>
      </c>
      <c r="F42">
        <v>39</v>
      </c>
      <c r="G42">
        <v>0</v>
      </c>
      <c r="H42">
        <v>1</v>
      </c>
      <c r="I42">
        <v>349256</v>
      </c>
      <c r="J42">
        <v>13.416700000000001</v>
      </c>
      <c r="L42" t="s">
        <v>23</v>
      </c>
      <c r="M42">
        <f t="shared" si="1"/>
        <v>1</v>
      </c>
      <c r="N42">
        <f t="shared" si="2"/>
        <v>1</v>
      </c>
      <c r="P42">
        <f>IF(E42="male",F42,"")</f>
        <v>39</v>
      </c>
      <c r="Q42" t="str">
        <f t="shared" si="3"/>
        <v/>
      </c>
    </row>
    <row r="43" spans="1:17" x14ac:dyDescent="0.35">
      <c r="A43">
        <v>933</v>
      </c>
      <c r="B43">
        <v>0</v>
      </c>
      <c r="C43">
        <v>1</v>
      </c>
      <c r="D43" t="s">
        <v>76</v>
      </c>
      <c r="E43" t="s">
        <v>11</v>
      </c>
      <c r="G43">
        <v>0</v>
      </c>
      <c r="H43">
        <v>0</v>
      </c>
      <c r="I43">
        <v>113778</v>
      </c>
      <c r="J43">
        <v>26.55</v>
      </c>
      <c r="K43" t="s">
        <v>77</v>
      </c>
      <c r="L43" t="s">
        <v>15</v>
      </c>
      <c r="M43">
        <f t="shared" si="1"/>
        <v>1</v>
      </c>
      <c r="N43">
        <f t="shared" si="2"/>
        <v>1</v>
      </c>
      <c r="Q43" t="str">
        <f t="shared" si="3"/>
        <v/>
      </c>
    </row>
    <row r="44" spans="1:17" x14ac:dyDescent="0.35">
      <c r="A44">
        <v>934</v>
      </c>
      <c r="B44">
        <v>0</v>
      </c>
      <c r="C44">
        <v>3</v>
      </c>
      <c r="D44" t="s">
        <v>78</v>
      </c>
      <c r="E44" t="s">
        <v>11</v>
      </c>
      <c r="F44">
        <v>41</v>
      </c>
      <c r="G44">
        <v>0</v>
      </c>
      <c r="H44">
        <v>0</v>
      </c>
      <c r="I44" t="s">
        <v>79</v>
      </c>
      <c r="J44">
        <v>7.85</v>
      </c>
      <c r="L44" t="s">
        <v>15</v>
      </c>
      <c r="M44">
        <f t="shared" si="1"/>
        <v>1</v>
      </c>
      <c r="N44">
        <f t="shared" si="2"/>
        <v>0</v>
      </c>
      <c r="P44">
        <f>IF(E44="male",F44,"")</f>
        <v>41</v>
      </c>
      <c r="Q44">
        <f t="shared" si="3"/>
        <v>30</v>
      </c>
    </row>
    <row r="45" spans="1:17" x14ac:dyDescent="0.35">
      <c r="A45">
        <v>935</v>
      </c>
      <c r="B45">
        <v>1</v>
      </c>
      <c r="C45">
        <v>2</v>
      </c>
      <c r="D45" t="s">
        <v>80</v>
      </c>
      <c r="E45" t="s">
        <v>14</v>
      </c>
      <c r="F45">
        <v>30</v>
      </c>
      <c r="G45">
        <v>0</v>
      </c>
      <c r="H45">
        <v>0</v>
      </c>
      <c r="I45">
        <v>237249</v>
      </c>
      <c r="J45">
        <v>13</v>
      </c>
      <c r="L45" t="s">
        <v>15</v>
      </c>
      <c r="M45">
        <f t="shared" si="1"/>
        <v>0</v>
      </c>
      <c r="N45">
        <f t="shared" si="2"/>
        <v>0</v>
      </c>
      <c r="P45" t="str">
        <f>IF(E45="male",F45,"")</f>
        <v/>
      </c>
      <c r="Q45">
        <f t="shared" si="3"/>
        <v>45</v>
      </c>
    </row>
    <row r="46" spans="1:17" x14ac:dyDescent="0.35">
      <c r="A46">
        <v>936</v>
      </c>
      <c r="B46">
        <v>1</v>
      </c>
      <c r="C46">
        <v>1</v>
      </c>
      <c r="D46" t="s">
        <v>81</v>
      </c>
      <c r="E46" t="s">
        <v>14</v>
      </c>
      <c r="F46">
        <v>45</v>
      </c>
      <c r="G46">
        <v>1</v>
      </c>
      <c r="H46">
        <v>0</v>
      </c>
      <c r="I46">
        <v>11753</v>
      </c>
      <c r="J46">
        <v>52.554200000000002</v>
      </c>
      <c r="K46" t="s">
        <v>82</v>
      </c>
      <c r="L46" t="s">
        <v>15</v>
      </c>
      <c r="M46">
        <f t="shared" si="1"/>
        <v>0</v>
      </c>
      <c r="N46">
        <f t="shared" si="2"/>
        <v>1</v>
      </c>
      <c r="P46" t="str">
        <f>IF(E46="male",F46,"")</f>
        <v/>
      </c>
      <c r="Q46" t="str">
        <f t="shared" si="3"/>
        <v/>
      </c>
    </row>
    <row r="47" spans="1:17" x14ac:dyDescent="0.35">
      <c r="A47">
        <v>937</v>
      </c>
      <c r="B47">
        <v>0</v>
      </c>
      <c r="C47">
        <v>3</v>
      </c>
      <c r="D47" t="s">
        <v>83</v>
      </c>
      <c r="E47" t="s">
        <v>11</v>
      </c>
      <c r="F47">
        <v>25</v>
      </c>
      <c r="G47">
        <v>0</v>
      </c>
      <c r="H47">
        <v>0</v>
      </c>
      <c r="I47" t="s">
        <v>84</v>
      </c>
      <c r="J47">
        <v>7.9249999999999998</v>
      </c>
      <c r="L47" t="s">
        <v>15</v>
      </c>
      <c r="M47">
        <f t="shared" si="1"/>
        <v>1</v>
      </c>
      <c r="N47">
        <f t="shared" si="2"/>
        <v>1</v>
      </c>
      <c r="P47">
        <f>IF(E47="male",F47,"")</f>
        <v>25</v>
      </c>
      <c r="Q47" t="str">
        <f t="shared" si="3"/>
        <v/>
      </c>
    </row>
    <row r="48" spans="1:17" x14ac:dyDescent="0.35">
      <c r="A48">
        <v>938</v>
      </c>
      <c r="B48">
        <v>0</v>
      </c>
      <c r="C48">
        <v>1</v>
      </c>
      <c r="D48" t="s">
        <v>85</v>
      </c>
      <c r="E48" t="s">
        <v>11</v>
      </c>
      <c r="F48">
        <v>45</v>
      </c>
      <c r="G48">
        <v>0</v>
      </c>
      <c r="H48">
        <v>0</v>
      </c>
      <c r="I48" t="s">
        <v>86</v>
      </c>
      <c r="J48">
        <v>29.7</v>
      </c>
      <c r="K48" t="s">
        <v>87</v>
      </c>
      <c r="L48" t="s">
        <v>23</v>
      </c>
      <c r="M48">
        <f t="shared" si="1"/>
        <v>1</v>
      </c>
      <c r="N48">
        <f t="shared" si="2"/>
        <v>1</v>
      </c>
      <c r="P48">
        <f>IF(E48="male",F48,"")</f>
        <v>45</v>
      </c>
      <c r="Q48" t="str">
        <f t="shared" si="3"/>
        <v/>
      </c>
    </row>
    <row r="49" spans="1:17" x14ac:dyDescent="0.35">
      <c r="A49">
        <v>939</v>
      </c>
      <c r="B49">
        <v>0</v>
      </c>
      <c r="C49">
        <v>3</v>
      </c>
      <c r="D49" t="s">
        <v>88</v>
      </c>
      <c r="E49" t="s">
        <v>11</v>
      </c>
      <c r="G49">
        <v>0</v>
      </c>
      <c r="H49">
        <v>0</v>
      </c>
      <c r="I49">
        <v>370374</v>
      </c>
      <c r="J49">
        <v>7.75</v>
      </c>
      <c r="L49" t="s">
        <v>12</v>
      </c>
      <c r="M49">
        <f t="shared" si="1"/>
        <v>1</v>
      </c>
      <c r="N49">
        <f t="shared" si="2"/>
        <v>0</v>
      </c>
      <c r="Q49">
        <f t="shared" si="3"/>
        <v>60</v>
      </c>
    </row>
    <row r="50" spans="1:17" x14ac:dyDescent="0.35">
      <c r="A50">
        <v>940</v>
      </c>
      <c r="B50">
        <v>1</v>
      </c>
      <c r="C50">
        <v>1</v>
      </c>
      <c r="D50" t="s">
        <v>89</v>
      </c>
      <c r="E50" t="s">
        <v>14</v>
      </c>
      <c r="F50">
        <v>60</v>
      </c>
      <c r="G50">
        <v>0</v>
      </c>
      <c r="H50">
        <v>0</v>
      </c>
      <c r="I50">
        <v>11813</v>
      </c>
      <c r="J50">
        <v>76.291700000000006</v>
      </c>
      <c r="K50" t="s">
        <v>90</v>
      </c>
      <c r="L50" t="s">
        <v>23</v>
      </c>
      <c r="M50">
        <f t="shared" si="1"/>
        <v>0</v>
      </c>
      <c r="N50">
        <f t="shared" si="2"/>
        <v>0</v>
      </c>
      <c r="P50" t="str">
        <f t="shared" ref="P50:P55" si="6">IF(E50="male",F50,"")</f>
        <v/>
      </c>
      <c r="Q50">
        <f t="shared" si="3"/>
        <v>36</v>
      </c>
    </row>
    <row r="51" spans="1:17" x14ac:dyDescent="0.35">
      <c r="A51">
        <v>941</v>
      </c>
      <c r="B51">
        <v>1</v>
      </c>
      <c r="C51">
        <v>3</v>
      </c>
      <c r="D51" t="s">
        <v>91</v>
      </c>
      <c r="E51" t="s">
        <v>14</v>
      </c>
      <c r="F51">
        <v>36</v>
      </c>
      <c r="G51">
        <v>0</v>
      </c>
      <c r="H51">
        <v>2</v>
      </c>
      <c r="I51" t="s">
        <v>92</v>
      </c>
      <c r="J51">
        <v>15.9</v>
      </c>
      <c r="L51" t="s">
        <v>15</v>
      </c>
      <c r="M51">
        <f t="shared" si="1"/>
        <v>0</v>
      </c>
      <c r="N51">
        <f t="shared" si="2"/>
        <v>1</v>
      </c>
      <c r="P51" t="str">
        <f t="shared" si="6"/>
        <v/>
      </c>
      <c r="Q51" t="str">
        <f t="shared" si="3"/>
        <v/>
      </c>
    </row>
    <row r="52" spans="1:17" x14ac:dyDescent="0.35">
      <c r="A52">
        <v>942</v>
      </c>
      <c r="B52">
        <v>0</v>
      </c>
      <c r="C52">
        <v>1</v>
      </c>
      <c r="D52" t="s">
        <v>93</v>
      </c>
      <c r="E52" t="s">
        <v>11</v>
      </c>
      <c r="F52">
        <v>24</v>
      </c>
      <c r="G52">
        <v>1</v>
      </c>
      <c r="H52">
        <v>0</v>
      </c>
      <c r="I52">
        <v>13695</v>
      </c>
      <c r="J52">
        <v>60</v>
      </c>
      <c r="K52" t="s">
        <v>94</v>
      </c>
      <c r="L52" t="s">
        <v>15</v>
      </c>
      <c r="M52">
        <f t="shared" si="1"/>
        <v>1</v>
      </c>
      <c r="N52">
        <f t="shared" si="2"/>
        <v>1</v>
      </c>
      <c r="P52">
        <f t="shared" si="6"/>
        <v>24</v>
      </c>
      <c r="Q52" t="str">
        <f t="shared" si="3"/>
        <v/>
      </c>
    </row>
    <row r="53" spans="1:17" x14ac:dyDescent="0.35">
      <c r="A53">
        <v>943</v>
      </c>
      <c r="B53">
        <v>0</v>
      </c>
      <c r="C53">
        <v>2</v>
      </c>
      <c r="D53" t="s">
        <v>95</v>
      </c>
      <c r="E53" t="s">
        <v>11</v>
      </c>
      <c r="F53">
        <v>27</v>
      </c>
      <c r="G53">
        <v>0</v>
      </c>
      <c r="H53">
        <v>0</v>
      </c>
      <c r="I53" t="s">
        <v>96</v>
      </c>
      <c r="J53">
        <v>15.033300000000001</v>
      </c>
      <c r="L53" t="s">
        <v>23</v>
      </c>
      <c r="M53">
        <f t="shared" si="1"/>
        <v>1</v>
      </c>
      <c r="N53">
        <f t="shared" si="2"/>
        <v>0</v>
      </c>
      <c r="P53">
        <f t="shared" si="6"/>
        <v>27</v>
      </c>
      <c r="Q53">
        <f t="shared" si="3"/>
        <v>20</v>
      </c>
    </row>
    <row r="54" spans="1:17" x14ac:dyDescent="0.35">
      <c r="A54">
        <v>944</v>
      </c>
      <c r="B54">
        <v>1</v>
      </c>
      <c r="C54">
        <v>2</v>
      </c>
      <c r="D54" t="s">
        <v>97</v>
      </c>
      <c r="E54" t="s">
        <v>14</v>
      </c>
      <c r="F54">
        <v>20</v>
      </c>
      <c r="G54">
        <v>2</v>
      </c>
      <c r="H54">
        <v>1</v>
      </c>
      <c r="I54">
        <v>29105</v>
      </c>
      <c r="J54">
        <v>23</v>
      </c>
      <c r="L54" t="s">
        <v>15</v>
      </c>
      <c r="M54">
        <f t="shared" si="1"/>
        <v>0</v>
      </c>
      <c r="N54">
        <f t="shared" si="2"/>
        <v>0</v>
      </c>
      <c r="P54" t="str">
        <f t="shared" si="6"/>
        <v/>
      </c>
      <c r="Q54">
        <f t="shared" si="3"/>
        <v>28</v>
      </c>
    </row>
    <row r="55" spans="1:17" x14ac:dyDescent="0.35">
      <c r="A55">
        <v>945</v>
      </c>
      <c r="B55">
        <v>1</v>
      </c>
      <c r="C55">
        <v>1</v>
      </c>
      <c r="D55" t="s">
        <v>98</v>
      </c>
      <c r="E55" t="s">
        <v>14</v>
      </c>
      <c r="F55">
        <v>28</v>
      </c>
      <c r="G55">
        <v>3</v>
      </c>
      <c r="H55">
        <v>2</v>
      </c>
      <c r="I55">
        <v>19950</v>
      </c>
      <c r="J55">
        <v>263</v>
      </c>
      <c r="K55" t="s">
        <v>99</v>
      </c>
      <c r="L55" t="s">
        <v>15</v>
      </c>
      <c r="M55">
        <f t="shared" si="1"/>
        <v>0</v>
      </c>
      <c r="N55">
        <f t="shared" si="2"/>
        <v>1</v>
      </c>
      <c r="P55" t="str">
        <f t="shared" si="6"/>
        <v/>
      </c>
      <c r="Q55" t="str">
        <f t="shared" si="3"/>
        <v/>
      </c>
    </row>
    <row r="56" spans="1:17" x14ac:dyDescent="0.35">
      <c r="A56">
        <v>946</v>
      </c>
      <c r="B56">
        <v>0</v>
      </c>
      <c r="C56">
        <v>2</v>
      </c>
      <c r="D56" t="s">
        <v>100</v>
      </c>
      <c r="E56" t="s">
        <v>11</v>
      </c>
      <c r="G56">
        <v>0</v>
      </c>
      <c r="H56">
        <v>0</v>
      </c>
      <c r="I56" t="s">
        <v>101</v>
      </c>
      <c r="J56">
        <v>15.5792</v>
      </c>
      <c r="L56" t="s">
        <v>23</v>
      </c>
      <c r="M56">
        <f t="shared" si="1"/>
        <v>1</v>
      </c>
      <c r="N56">
        <f t="shared" si="2"/>
        <v>1</v>
      </c>
      <c r="Q56" t="str">
        <f t="shared" si="3"/>
        <v/>
      </c>
    </row>
    <row r="57" spans="1:17" x14ac:dyDescent="0.35">
      <c r="A57">
        <v>947</v>
      </c>
      <c r="B57">
        <v>0</v>
      </c>
      <c r="C57">
        <v>3</v>
      </c>
      <c r="D57" t="s">
        <v>102</v>
      </c>
      <c r="E57" t="s">
        <v>11</v>
      </c>
      <c r="F57">
        <v>10</v>
      </c>
      <c r="G57">
        <v>4</v>
      </c>
      <c r="H57">
        <v>1</v>
      </c>
      <c r="I57">
        <v>382652</v>
      </c>
      <c r="J57">
        <v>29.125</v>
      </c>
      <c r="L57" t="s">
        <v>12</v>
      </c>
      <c r="M57">
        <f t="shared" si="1"/>
        <v>1</v>
      </c>
      <c r="N57">
        <f t="shared" si="2"/>
        <v>1</v>
      </c>
      <c r="P57">
        <f>IF(E57="male",F57,"")</f>
        <v>10</v>
      </c>
      <c r="Q57" t="str">
        <f t="shared" si="3"/>
        <v/>
      </c>
    </row>
    <row r="58" spans="1:17" x14ac:dyDescent="0.35">
      <c r="A58">
        <v>948</v>
      </c>
      <c r="B58">
        <v>0</v>
      </c>
      <c r="C58">
        <v>3</v>
      </c>
      <c r="D58" t="s">
        <v>103</v>
      </c>
      <c r="E58" t="s">
        <v>11</v>
      </c>
      <c r="F58">
        <v>35</v>
      </c>
      <c r="G58">
        <v>0</v>
      </c>
      <c r="H58">
        <v>0</v>
      </c>
      <c r="I58">
        <v>349230</v>
      </c>
      <c r="J58">
        <v>7.8958000000000004</v>
      </c>
      <c r="L58" t="s">
        <v>15</v>
      </c>
      <c r="M58">
        <f t="shared" si="1"/>
        <v>1</v>
      </c>
      <c r="N58">
        <f t="shared" si="2"/>
        <v>1</v>
      </c>
      <c r="P58">
        <f>IF(E58="male",F58,"")</f>
        <v>35</v>
      </c>
      <c r="Q58" t="str">
        <f t="shared" si="3"/>
        <v/>
      </c>
    </row>
    <row r="59" spans="1:17" x14ac:dyDescent="0.35">
      <c r="A59">
        <v>949</v>
      </c>
      <c r="B59">
        <v>0</v>
      </c>
      <c r="C59">
        <v>3</v>
      </c>
      <c r="D59" t="s">
        <v>104</v>
      </c>
      <c r="E59" t="s">
        <v>11</v>
      </c>
      <c r="F59">
        <v>25</v>
      </c>
      <c r="G59">
        <v>0</v>
      </c>
      <c r="H59">
        <v>0</v>
      </c>
      <c r="I59">
        <v>348122</v>
      </c>
      <c r="J59">
        <v>7.65</v>
      </c>
      <c r="K59" t="s">
        <v>105</v>
      </c>
      <c r="L59" t="s">
        <v>15</v>
      </c>
      <c r="M59">
        <f t="shared" si="1"/>
        <v>1</v>
      </c>
      <c r="N59">
        <f t="shared" si="2"/>
        <v>1</v>
      </c>
      <c r="P59">
        <f>IF(E59="male",F59,"")</f>
        <v>25</v>
      </c>
      <c r="Q59" t="str">
        <f t="shared" si="3"/>
        <v/>
      </c>
    </row>
    <row r="60" spans="1:17" x14ac:dyDescent="0.35">
      <c r="A60">
        <v>950</v>
      </c>
      <c r="B60">
        <v>0</v>
      </c>
      <c r="C60">
        <v>3</v>
      </c>
      <c r="D60" t="s">
        <v>106</v>
      </c>
      <c r="E60" t="s">
        <v>11</v>
      </c>
      <c r="G60">
        <v>1</v>
      </c>
      <c r="H60">
        <v>0</v>
      </c>
      <c r="I60">
        <v>386525</v>
      </c>
      <c r="J60">
        <v>16.100000000000001</v>
      </c>
      <c r="L60" t="s">
        <v>15</v>
      </c>
      <c r="M60">
        <f t="shared" si="1"/>
        <v>1</v>
      </c>
      <c r="N60">
        <f t="shared" si="2"/>
        <v>0</v>
      </c>
      <c r="Q60">
        <f t="shared" si="3"/>
        <v>36</v>
      </c>
    </row>
    <row r="61" spans="1:17" x14ac:dyDescent="0.35">
      <c r="A61">
        <v>951</v>
      </c>
      <c r="B61">
        <v>1</v>
      </c>
      <c r="C61">
        <v>1</v>
      </c>
      <c r="D61" t="s">
        <v>107</v>
      </c>
      <c r="E61" t="s">
        <v>14</v>
      </c>
      <c r="F61">
        <v>36</v>
      </c>
      <c r="G61">
        <v>0</v>
      </c>
      <c r="H61">
        <v>0</v>
      </c>
      <c r="I61" t="s">
        <v>50</v>
      </c>
      <c r="J61">
        <v>262.375</v>
      </c>
      <c r="K61" t="s">
        <v>108</v>
      </c>
      <c r="L61" t="s">
        <v>23</v>
      </c>
      <c r="M61">
        <f t="shared" si="1"/>
        <v>0</v>
      </c>
      <c r="N61">
        <f t="shared" si="2"/>
        <v>1</v>
      </c>
      <c r="P61" t="str">
        <f t="shared" ref="P61:P77" si="7">IF(E61="male",F61,"")</f>
        <v/>
      </c>
      <c r="Q61" t="str">
        <f t="shared" si="3"/>
        <v/>
      </c>
    </row>
    <row r="62" spans="1:17" x14ac:dyDescent="0.35">
      <c r="A62">
        <v>952</v>
      </c>
      <c r="B62">
        <v>0</v>
      </c>
      <c r="C62">
        <v>3</v>
      </c>
      <c r="D62" t="s">
        <v>109</v>
      </c>
      <c r="E62" t="s">
        <v>11</v>
      </c>
      <c r="F62">
        <v>17</v>
      </c>
      <c r="G62">
        <v>0</v>
      </c>
      <c r="H62">
        <v>0</v>
      </c>
      <c r="I62">
        <v>349232</v>
      </c>
      <c r="J62">
        <v>7.8958000000000004</v>
      </c>
      <c r="L62" t="s">
        <v>15</v>
      </c>
      <c r="M62">
        <f t="shared" si="1"/>
        <v>1</v>
      </c>
      <c r="N62">
        <f t="shared" si="2"/>
        <v>1</v>
      </c>
      <c r="P62">
        <f t="shared" si="7"/>
        <v>17</v>
      </c>
      <c r="Q62" t="str">
        <f t="shared" si="3"/>
        <v/>
      </c>
    </row>
    <row r="63" spans="1:17" x14ac:dyDescent="0.35">
      <c r="A63">
        <v>953</v>
      </c>
      <c r="B63">
        <v>0</v>
      </c>
      <c r="C63">
        <v>2</v>
      </c>
      <c r="D63" t="s">
        <v>110</v>
      </c>
      <c r="E63" t="s">
        <v>11</v>
      </c>
      <c r="F63">
        <v>32</v>
      </c>
      <c r="G63">
        <v>0</v>
      </c>
      <c r="H63">
        <v>0</v>
      </c>
      <c r="I63">
        <v>237216</v>
      </c>
      <c r="J63">
        <v>13.5</v>
      </c>
      <c r="L63" t="s">
        <v>15</v>
      </c>
      <c r="M63">
        <f t="shared" si="1"/>
        <v>1</v>
      </c>
      <c r="N63">
        <f t="shared" si="2"/>
        <v>1</v>
      </c>
      <c r="P63">
        <f t="shared" si="7"/>
        <v>32</v>
      </c>
      <c r="Q63" t="str">
        <f t="shared" si="3"/>
        <v/>
      </c>
    </row>
    <row r="64" spans="1:17" x14ac:dyDescent="0.35">
      <c r="A64">
        <v>954</v>
      </c>
      <c r="B64">
        <v>0</v>
      </c>
      <c r="C64">
        <v>3</v>
      </c>
      <c r="D64" t="s">
        <v>111</v>
      </c>
      <c r="E64" t="s">
        <v>11</v>
      </c>
      <c r="F64">
        <v>18</v>
      </c>
      <c r="G64">
        <v>0</v>
      </c>
      <c r="H64">
        <v>0</v>
      </c>
      <c r="I64">
        <v>347090</v>
      </c>
      <c r="J64">
        <v>7.75</v>
      </c>
      <c r="L64" t="s">
        <v>15</v>
      </c>
      <c r="M64">
        <f t="shared" si="1"/>
        <v>1</v>
      </c>
      <c r="N64">
        <f t="shared" si="2"/>
        <v>0</v>
      </c>
      <c r="P64">
        <f t="shared" si="7"/>
        <v>18</v>
      </c>
      <c r="Q64">
        <f t="shared" si="3"/>
        <v>22</v>
      </c>
    </row>
    <row r="65" spans="1:17" x14ac:dyDescent="0.35">
      <c r="A65">
        <v>955</v>
      </c>
      <c r="B65">
        <v>1</v>
      </c>
      <c r="C65">
        <v>3</v>
      </c>
      <c r="D65" t="s">
        <v>112</v>
      </c>
      <c r="E65" t="s">
        <v>14</v>
      </c>
      <c r="F65">
        <v>22</v>
      </c>
      <c r="G65">
        <v>0</v>
      </c>
      <c r="H65">
        <v>0</v>
      </c>
      <c r="I65">
        <v>334914</v>
      </c>
      <c r="J65">
        <v>7.7249999999999996</v>
      </c>
      <c r="L65" t="s">
        <v>12</v>
      </c>
      <c r="M65">
        <f t="shared" si="1"/>
        <v>0</v>
      </c>
      <c r="N65">
        <f t="shared" si="2"/>
        <v>1</v>
      </c>
      <c r="P65" t="str">
        <f t="shared" si="7"/>
        <v/>
      </c>
      <c r="Q65" t="str">
        <f t="shared" si="3"/>
        <v/>
      </c>
    </row>
    <row r="66" spans="1:17" x14ac:dyDescent="0.35">
      <c r="A66">
        <v>956</v>
      </c>
      <c r="B66">
        <v>0</v>
      </c>
      <c r="C66">
        <v>1</v>
      </c>
      <c r="D66" t="s">
        <v>113</v>
      </c>
      <c r="E66" t="s">
        <v>11</v>
      </c>
      <c r="F66">
        <v>13</v>
      </c>
      <c r="G66">
        <v>2</v>
      </c>
      <c r="H66">
        <v>2</v>
      </c>
      <c r="I66" t="s">
        <v>50</v>
      </c>
      <c r="J66">
        <v>262.375</v>
      </c>
      <c r="K66" t="s">
        <v>51</v>
      </c>
      <c r="L66" t="s">
        <v>23</v>
      </c>
      <c r="M66">
        <f t="shared" si="1"/>
        <v>1</v>
      </c>
      <c r="N66">
        <f t="shared" si="2"/>
        <v>0</v>
      </c>
      <c r="P66">
        <f t="shared" si="7"/>
        <v>13</v>
      </c>
      <c r="Q66">
        <f t="shared" si="3"/>
        <v>0</v>
      </c>
    </row>
    <row r="67" spans="1:17" x14ac:dyDescent="0.35">
      <c r="A67">
        <v>957</v>
      </c>
      <c r="B67">
        <v>1</v>
      </c>
      <c r="C67">
        <v>2</v>
      </c>
      <c r="D67" t="s">
        <v>114</v>
      </c>
      <c r="E67" t="s">
        <v>14</v>
      </c>
      <c r="G67">
        <v>0</v>
      </c>
      <c r="H67">
        <v>0</v>
      </c>
      <c r="I67" t="s">
        <v>115</v>
      </c>
      <c r="J67">
        <v>21</v>
      </c>
      <c r="L67" t="s">
        <v>15</v>
      </c>
      <c r="M67">
        <f t="shared" ref="M67:M130" si="8">IF(E67="male",1,0)</f>
        <v>0</v>
      </c>
      <c r="N67">
        <f t="shared" ref="N67:N130" si="9">IF(E68="female",0,1)</f>
        <v>0</v>
      </c>
      <c r="P67" t="str">
        <f t="shared" si="7"/>
        <v/>
      </c>
      <c r="Q67">
        <f t="shared" ref="Q67:Q130" si="10">IF(E68="female",F68,"")</f>
        <v>18</v>
      </c>
    </row>
    <row r="68" spans="1:17" x14ac:dyDescent="0.35">
      <c r="A68">
        <v>958</v>
      </c>
      <c r="B68">
        <v>1</v>
      </c>
      <c r="C68">
        <v>3</v>
      </c>
      <c r="D68" t="s">
        <v>116</v>
      </c>
      <c r="E68" t="s">
        <v>14</v>
      </c>
      <c r="F68">
        <v>18</v>
      </c>
      <c r="G68">
        <v>0</v>
      </c>
      <c r="H68">
        <v>0</v>
      </c>
      <c r="I68">
        <v>330963</v>
      </c>
      <c r="J68">
        <v>7.8792</v>
      </c>
      <c r="L68" t="s">
        <v>12</v>
      </c>
      <c r="M68">
        <f t="shared" si="8"/>
        <v>0</v>
      </c>
      <c r="N68">
        <f t="shared" si="9"/>
        <v>1</v>
      </c>
      <c r="P68" t="str">
        <f t="shared" si="7"/>
        <v/>
      </c>
      <c r="Q68" t="str">
        <f t="shared" si="10"/>
        <v/>
      </c>
    </row>
    <row r="69" spans="1:17" x14ac:dyDescent="0.35">
      <c r="A69">
        <v>959</v>
      </c>
      <c r="B69">
        <v>0</v>
      </c>
      <c r="C69">
        <v>1</v>
      </c>
      <c r="D69" t="s">
        <v>117</v>
      </c>
      <c r="E69" t="s">
        <v>11</v>
      </c>
      <c r="F69">
        <v>47</v>
      </c>
      <c r="G69">
        <v>0</v>
      </c>
      <c r="H69">
        <v>0</v>
      </c>
      <c r="I69">
        <v>113796</v>
      </c>
      <c r="J69">
        <v>42.4</v>
      </c>
      <c r="L69" t="s">
        <v>15</v>
      </c>
      <c r="M69">
        <f t="shared" si="8"/>
        <v>1</v>
      </c>
      <c r="N69">
        <f t="shared" si="9"/>
        <v>1</v>
      </c>
      <c r="P69">
        <f t="shared" si="7"/>
        <v>47</v>
      </c>
      <c r="Q69" t="str">
        <f t="shared" si="10"/>
        <v/>
      </c>
    </row>
    <row r="70" spans="1:17" x14ac:dyDescent="0.35">
      <c r="A70">
        <v>960</v>
      </c>
      <c r="B70">
        <v>0</v>
      </c>
      <c r="C70">
        <v>1</v>
      </c>
      <c r="D70" t="s">
        <v>118</v>
      </c>
      <c r="E70" t="s">
        <v>11</v>
      </c>
      <c r="F70">
        <v>31</v>
      </c>
      <c r="G70">
        <v>0</v>
      </c>
      <c r="H70">
        <v>0</v>
      </c>
      <c r="I70">
        <v>2543</v>
      </c>
      <c r="J70">
        <v>28.537500000000001</v>
      </c>
      <c r="K70" t="s">
        <v>119</v>
      </c>
      <c r="L70" t="s">
        <v>23</v>
      </c>
      <c r="M70">
        <f t="shared" si="8"/>
        <v>1</v>
      </c>
      <c r="N70">
        <f t="shared" si="9"/>
        <v>0</v>
      </c>
      <c r="P70">
        <f t="shared" si="7"/>
        <v>31</v>
      </c>
      <c r="Q70">
        <f t="shared" si="10"/>
        <v>60</v>
      </c>
    </row>
    <row r="71" spans="1:17" x14ac:dyDescent="0.35">
      <c r="A71">
        <v>961</v>
      </c>
      <c r="B71">
        <v>1</v>
      </c>
      <c r="C71">
        <v>1</v>
      </c>
      <c r="D71" t="s">
        <v>120</v>
      </c>
      <c r="E71" t="s">
        <v>14</v>
      </c>
      <c r="F71">
        <v>60</v>
      </c>
      <c r="G71">
        <v>1</v>
      </c>
      <c r="H71">
        <v>4</v>
      </c>
      <c r="I71">
        <v>19950</v>
      </c>
      <c r="J71">
        <v>263</v>
      </c>
      <c r="K71" t="s">
        <v>99</v>
      </c>
      <c r="L71" t="s">
        <v>15</v>
      </c>
      <c r="M71">
        <f t="shared" si="8"/>
        <v>0</v>
      </c>
      <c r="N71">
        <f t="shared" si="9"/>
        <v>0</v>
      </c>
      <c r="P71" t="str">
        <f t="shared" si="7"/>
        <v/>
      </c>
      <c r="Q71">
        <f t="shared" si="10"/>
        <v>24</v>
      </c>
    </row>
    <row r="72" spans="1:17" x14ac:dyDescent="0.35">
      <c r="A72">
        <v>962</v>
      </c>
      <c r="B72">
        <v>1</v>
      </c>
      <c r="C72">
        <v>3</v>
      </c>
      <c r="D72" t="s">
        <v>121</v>
      </c>
      <c r="E72" t="s">
        <v>14</v>
      </c>
      <c r="F72">
        <v>24</v>
      </c>
      <c r="G72">
        <v>0</v>
      </c>
      <c r="H72">
        <v>0</v>
      </c>
      <c r="I72">
        <v>382653</v>
      </c>
      <c r="J72">
        <v>7.75</v>
      </c>
      <c r="L72" t="s">
        <v>12</v>
      </c>
      <c r="M72">
        <f t="shared" si="8"/>
        <v>0</v>
      </c>
      <c r="N72">
        <f t="shared" si="9"/>
        <v>1</v>
      </c>
      <c r="P72" t="str">
        <f t="shared" si="7"/>
        <v/>
      </c>
      <c r="Q72" t="str">
        <f t="shared" si="10"/>
        <v/>
      </c>
    </row>
    <row r="73" spans="1:17" x14ac:dyDescent="0.35">
      <c r="A73">
        <v>963</v>
      </c>
      <c r="B73">
        <v>0</v>
      </c>
      <c r="C73">
        <v>3</v>
      </c>
      <c r="D73" t="s">
        <v>122</v>
      </c>
      <c r="E73" t="s">
        <v>11</v>
      </c>
      <c r="F73">
        <v>21</v>
      </c>
      <c r="G73">
        <v>0</v>
      </c>
      <c r="H73">
        <v>0</v>
      </c>
      <c r="I73">
        <v>349211</v>
      </c>
      <c r="J73">
        <v>7.8958000000000004</v>
      </c>
      <c r="L73" t="s">
        <v>15</v>
      </c>
      <c r="M73">
        <f t="shared" si="8"/>
        <v>1</v>
      </c>
      <c r="N73">
        <f t="shared" si="9"/>
        <v>0</v>
      </c>
      <c r="P73">
        <f t="shared" si="7"/>
        <v>21</v>
      </c>
      <c r="Q73">
        <f t="shared" si="10"/>
        <v>29</v>
      </c>
    </row>
    <row r="74" spans="1:17" x14ac:dyDescent="0.35">
      <c r="A74">
        <v>964</v>
      </c>
      <c r="B74">
        <v>1</v>
      </c>
      <c r="C74">
        <v>3</v>
      </c>
      <c r="D74" t="s">
        <v>123</v>
      </c>
      <c r="E74" t="s">
        <v>14</v>
      </c>
      <c r="F74">
        <v>29</v>
      </c>
      <c r="G74">
        <v>0</v>
      </c>
      <c r="H74">
        <v>0</v>
      </c>
      <c r="I74">
        <v>3101297</v>
      </c>
      <c r="J74">
        <v>7.9249999999999998</v>
      </c>
      <c r="L74" t="s">
        <v>15</v>
      </c>
      <c r="M74">
        <f t="shared" si="8"/>
        <v>0</v>
      </c>
      <c r="N74">
        <f t="shared" si="9"/>
        <v>1</v>
      </c>
      <c r="P74" t="str">
        <f t="shared" si="7"/>
        <v/>
      </c>
      <c r="Q74" t="str">
        <f t="shared" si="10"/>
        <v/>
      </c>
    </row>
    <row r="75" spans="1:17" x14ac:dyDescent="0.35">
      <c r="A75">
        <v>965</v>
      </c>
      <c r="B75">
        <v>0</v>
      </c>
      <c r="C75">
        <v>1</v>
      </c>
      <c r="D75" t="s">
        <v>124</v>
      </c>
      <c r="E75" t="s">
        <v>11</v>
      </c>
      <c r="F75">
        <v>28.5</v>
      </c>
      <c r="G75">
        <v>0</v>
      </c>
      <c r="H75">
        <v>0</v>
      </c>
      <c r="I75" t="s">
        <v>125</v>
      </c>
      <c r="J75">
        <v>27.720800000000001</v>
      </c>
      <c r="K75" t="s">
        <v>126</v>
      </c>
      <c r="L75" t="s">
        <v>23</v>
      </c>
      <c r="M75">
        <f t="shared" si="8"/>
        <v>1</v>
      </c>
      <c r="N75">
        <f t="shared" si="9"/>
        <v>0</v>
      </c>
      <c r="P75">
        <f t="shared" si="7"/>
        <v>28.5</v>
      </c>
      <c r="Q75">
        <f t="shared" si="10"/>
        <v>35</v>
      </c>
    </row>
    <row r="76" spans="1:17" x14ac:dyDescent="0.35">
      <c r="A76">
        <v>966</v>
      </c>
      <c r="B76">
        <v>1</v>
      </c>
      <c r="C76">
        <v>1</v>
      </c>
      <c r="D76" t="s">
        <v>127</v>
      </c>
      <c r="E76" t="s">
        <v>14</v>
      </c>
      <c r="F76">
        <v>35</v>
      </c>
      <c r="G76">
        <v>0</v>
      </c>
      <c r="H76">
        <v>0</v>
      </c>
      <c r="I76">
        <v>113503</v>
      </c>
      <c r="J76">
        <v>211.5</v>
      </c>
      <c r="K76" t="s">
        <v>128</v>
      </c>
      <c r="L76" t="s">
        <v>23</v>
      </c>
      <c r="M76">
        <f t="shared" si="8"/>
        <v>0</v>
      </c>
      <c r="N76">
        <f t="shared" si="9"/>
        <v>1</v>
      </c>
      <c r="P76" t="str">
        <f t="shared" si="7"/>
        <v/>
      </c>
      <c r="Q76" t="str">
        <f t="shared" si="10"/>
        <v/>
      </c>
    </row>
    <row r="77" spans="1:17" x14ac:dyDescent="0.35">
      <c r="A77">
        <v>967</v>
      </c>
      <c r="B77">
        <v>0</v>
      </c>
      <c r="C77">
        <v>1</v>
      </c>
      <c r="D77" t="s">
        <v>129</v>
      </c>
      <c r="E77" t="s">
        <v>11</v>
      </c>
      <c r="F77">
        <v>32.5</v>
      </c>
      <c r="G77">
        <v>0</v>
      </c>
      <c r="H77">
        <v>0</v>
      </c>
      <c r="I77">
        <v>113503</v>
      </c>
      <c r="J77">
        <v>211.5</v>
      </c>
      <c r="K77" t="s">
        <v>130</v>
      </c>
      <c r="L77" t="s">
        <v>23</v>
      </c>
      <c r="M77">
        <f t="shared" si="8"/>
        <v>1</v>
      </c>
      <c r="N77">
        <f t="shared" si="9"/>
        <v>1</v>
      </c>
      <c r="P77">
        <f t="shared" si="7"/>
        <v>32.5</v>
      </c>
      <c r="Q77" t="str">
        <f t="shared" si="10"/>
        <v/>
      </c>
    </row>
    <row r="78" spans="1:17" x14ac:dyDescent="0.35">
      <c r="A78">
        <v>968</v>
      </c>
      <c r="B78">
        <v>0</v>
      </c>
      <c r="C78">
        <v>3</v>
      </c>
      <c r="D78" t="s">
        <v>131</v>
      </c>
      <c r="E78" t="s">
        <v>11</v>
      </c>
      <c r="G78">
        <v>0</v>
      </c>
      <c r="H78">
        <v>0</v>
      </c>
      <c r="I78">
        <v>359306</v>
      </c>
      <c r="J78">
        <v>8.0500000000000007</v>
      </c>
      <c r="L78" t="s">
        <v>15</v>
      </c>
      <c r="M78">
        <f t="shared" si="8"/>
        <v>1</v>
      </c>
      <c r="N78">
        <f t="shared" si="9"/>
        <v>0</v>
      </c>
      <c r="Q78">
        <f t="shared" si="10"/>
        <v>55</v>
      </c>
    </row>
    <row r="79" spans="1:17" x14ac:dyDescent="0.35">
      <c r="A79">
        <v>969</v>
      </c>
      <c r="B79">
        <v>1</v>
      </c>
      <c r="C79">
        <v>1</v>
      </c>
      <c r="D79" t="s">
        <v>132</v>
      </c>
      <c r="E79" t="s">
        <v>14</v>
      </c>
      <c r="F79">
        <v>55</v>
      </c>
      <c r="G79">
        <v>2</v>
      </c>
      <c r="H79">
        <v>0</v>
      </c>
      <c r="I79">
        <v>11770</v>
      </c>
      <c r="J79">
        <v>25.7</v>
      </c>
      <c r="K79" t="s">
        <v>133</v>
      </c>
      <c r="L79" t="s">
        <v>15</v>
      </c>
      <c r="M79">
        <f t="shared" si="8"/>
        <v>0</v>
      </c>
      <c r="N79">
        <f t="shared" si="9"/>
        <v>1</v>
      </c>
      <c r="P79" t="str">
        <f t="shared" ref="P79:P84" si="11">IF(E79="male",F79,"")</f>
        <v/>
      </c>
      <c r="Q79" t="str">
        <f t="shared" si="10"/>
        <v/>
      </c>
    </row>
    <row r="80" spans="1:17" x14ac:dyDescent="0.35">
      <c r="A80">
        <v>970</v>
      </c>
      <c r="B80">
        <v>0</v>
      </c>
      <c r="C80">
        <v>2</v>
      </c>
      <c r="D80" t="s">
        <v>134</v>
      </c>
      <c r="E80" t="s">
        <v>11</v>
      </c>
      <c r="F80">
        <v>30</v>
      </c>
      <c r="G80">
        <v>0</v>
      </c>
      <c r="H80">
        <v>0</v>
      </c>
      <c r="I80">
        <v>248744</v>
      </c>
      <c r="J80">
        <v>13</v>
      </c>
      <c r="L80" t="s">
        <v>15</v>
      </c>
      <c r="M80">
        <f t="shared" si="8"/>
        <v>1</v>
      </c>
      <c r="N80">
        <f t="shared" si="9"/>
        <v>0</v>
      </c>
      <c r="P80">
        <f t="shared" si="11"/>
        <v>30</v>
      </c>
      <c r="Q80">
        <f t="shared" si="10"/>
        <v>24</v>
      </c>
    </row>
    <row r="81" spans="1:17" x14ac:dyDescent="0.35">
      <c r="A81">
        <v>971</v>
      </c>
      <c r="B81">
        <v>1</v>
      </c>
      <c r="C81">
        <v>3</v>
      </c>
      <c r="D81" t="s">
        <v>135</v>
      </c>
      <c r="E81" t="s">
        <v>14</v>
      </c>
      <c r="F81">
        <v>24</v>
      </c>
      <c r="G81">
        <v>0</v>
      </c>
      <c r="H81">
        <v>0</v>
      </c>
      <c r="I81">
        <v>368702</v>
      </c>
      <c r="J81">
        <v>7.75</v>
      </c>
      <c r="L81" t="s">
        <v>12</v>
      </c>
      <c r="M81">
        <f t="shared" si="8"/>
        <v>0</v>
      </c>
      <c r="N81">
        <f t="shared" si="9"/>
        <v>1</v>
      </c>
      <c r="P81" t="str">
        <f t="shared" si="11"/>
        <v/>
      </c>
      <c r="Q81" t="str">
        <f t="shared" si="10"/>
        <v/>
      </c>
    </row>
    <row r="82" spans="1:17" x14ac:dyDescent="0.35">
      <c r="A82">
        <v>972</v>
      </c>
      <c r="B82">
        <v>0</v>
      </c>
      <c r="C82">
        <v>3</v>
      </c>
      <c r="D82" t="s">
        <v>136</v>
      </c>
      <c r="E82" t="s">
        <v>11</v>
      </c>
      <c r="F82">
        <v>6</v>
      </c>
      <c r="G82">
        <v>1</v>
      </c>
      <c r="H82">
        <v>1</v>
      </c>
      <c r="I82">
        <v>2678</v>
      </c>
      <c r="J82">
        <v>15.245799999999999</v>
      </c>
      <c r="L82" t="s">
        <v>23</v>
      </c>
      <c r="M82">
        <f t="shared" si="8"/>
        <v>1</v>
      </c>
      <c r="N82">
        <f t="shared" si="9"/>
        <v>1</v>
      </c>
      <c r="P82">
        <f t="shared" si="11"/>
        <v>6</v>
      </c>
      <c r="Q82" t="str">
        <f t="shared" si="10"/>
        <v/>
      </c>
    </row>
    <row r="83" spans="1:17" x14ac:dyDescent="0.35">
      <c r="A83">
        <v>973</v>
      </c>
      <c r="B83">
        <v>0</v>
      </c>
      <c r="C83">
        <v>1</v>
      </c>
      <c r="D83" t="s">
        <v>137</v>
      </c>
      <c r="E83" t="s">
        <v>11</v>
      </c>
      <c r="F83">
        <v>67</v>
      </c>
      <c r="G83">
        <v>1</v>
      </c>
      <c r="H83">
        <v>0</v>
      </c>
      <c r="I83" t="s">
        <v>138</v>
      </c>
      <c r="J83">
        <v>221.7792</v>
      </c>
      <c r="K83" t="s">
        <v>139</v>
      </c>
      <c r="L83" t="s">
        <v>15</v>
      </c>
      <c r="M83">
        <f t="shared" si="8"/>
        <v>1</v>
      </c>
      <c r="N83">
        <f t="shared" si="9"/>
        <v>1</v>
      </c>
      <c r="P83">
        <f t="shared" si="11"/>
        <v>67</v>
      </c>
      <c r="Q83" t="str">
        <f t="shared" si="10"/>
        <v/>
      </c>
    </row>
    <row r="84" spans="1:17" x14ac:dyDescent="0.35">
      <c r="A84">
        <v>974</v>
      </c>
      <c r="B84">
        <v>0</v>
      </c>
      <c r="C84">
        <v>1</v>
      </c>
      <c r="D84" t="s">
        <v>140</v>
      </c>
      <c r="E84" t="s">
        <v>11</v>
      </c>
      <c r="F84">
        <v>49</v>
      </c>
      <c r="G84">
        <v>0</v>
      </c>
      <c r="H84">
        <v>0</v>
      </c>
      <c r="I84">
        <v>19924</v>
      </c>
      <c r="J84">
        <v>26</v>
      </c>
      <c r="L84" t="s">
        <v>15</v>
      </c>
      <c r="M84">
        <f t="shared" si="8"/>
        <v>1</v>
      </c>
      <c r="N84">
        <f t="shared" si="9"/>
        <v>1</v>
      </c>
      <c r="P84">
        <f t="shared" si="11"/>
        <v>49</v>
      </c>
      <c r="Q84" t="str">
        <f t="shared" si="10"/>
        <v/>
      </c>
    </row>
    <row r="85" spans="1:17" x14ac:dyDescent="0.35">
      <c r="A85">
        <v>975</v>
      </c>
      <c r="B85">
        <v>0</v>
      </c>
      <c r="C85">
        <v>3</v>
      </c>
      <c r="D85" t="s">
        <v>141</v>
      </c>
      <c r="E85" t="s">
        <v>11</v>
      </c>
      <c r="G85">
        <v>0</v>
      </c>
      <c r="H85">
        <v>0</v>
      </c>
      <c r="I85">
        <v>349238</v>
      </c>
      <c r="J85">
        <v>7.8958000000000004</v>
      </c>
      <c r="L85" t="s">
        <v>15</v>
      </c>
      <c r="M85">
        <f t="shared" si="8"/>
        <v>1</v>
      </c>
      <c r="N85">
        <f t="shared" si="9"/>
        <v>1</v>
      </c>
      <c r="Q85" t="str">
        <f t="shared" si="10"/>
        <v/>
      </c>
    </row>
    <row r="86" spans="1:17" x14ac:dyDescent="0.35">
      <c r="A86">
        <v>976</v>
      </c>
      <c r="B86">
        <v>0</v>
      </c>
      <c r="C86">
        <v>2</v>
      </c>
      <c r="D86" t="s">
        <v>142</v>
      </c>
      <c r="E86" t="s">
        <v>11</v>
      </c>
      <c r="G86">
        <v>0</v>
      </c>
      <c r="H86">
        <v>0</v>
      </c>
      <c r="I86">
        <v>240261</v>
      </c>
      <c r="J86">
        <v>10.708299999999999</v>
      </c>
      <c r="L86" t="s">
        <v>12</v>
      </c>
      <c r="M86">
        <f t="shared" si="8"/>
        <v>1</v>
      </c>
      <c r="N86">
        <f t="shared" si="9"/>
        <v>1</v>
      </c>
      <c r="Q86" t="str">
        <f t="shared" si="10"/>
        <v/>
      </c>
    </row>
    <row r="87" spans="1:17" x14ac:dyDescent="0.35">
      <c r="A87">
        <v>977</v>
      </c>
      <c r="B87">
        <v>0</v>
      </c>
      <c r="C87">
        <v>3</v>
      </c>
      <c r="D87" t="s">
        <v>143</v>
      </c>
      <c r="E87" t="s">
        <v>11</v>
      </c>
      <c r="G87">
        <v>1</v>
      </c>
      <c r="H87">
        <v>0</v>
      </c>
      <c r="I87">
        <v>2660</v>
      </c>
      <c r="J87">
        <v>14.4542</v>
      </c>
      <c r="L87" t="s">
        <v>23</v>
      </c>
      <c r="M87">
        <f t="shared" si="8"/>
        <v>1</v>
      </c>
      <c r="N87">
        <f t="shared" si="9"/>
        <v>0</v>
      </c>
      <c r="Q87">
        <f t="shared" si="10"/>
        <v>27</v>
      </c>
    </row>
    <row r="88" spans="1:17" x14ac:dyDescent="0.35">
      <c r="A88">
        <v>978</v>
      </c>
      <c r="B88">
        <v>1</v>
      </c>
      <c r="C88">
        <v>3</v>
      </c>
      <c r="D88" t="s">
        <v>144</v>
      </c>
      <c r="E88" t="s">
        <v>14</v>
      </c>
      <c r="F88">
        <v>27</v>
      </c>
      <c r="G88">
        <v>0</v>
      </c>
      <c r="H88">
        <v>0</v>
      </c>
      <c r="I88">
        <v>330844</v>
      </c>
      <c r="J88">
        <v>7.8792</v>
      </c>
      <c r="L88" t="s">
        <v>12</v>
      </c>
      <c r="M88">
        <f t="shared" si="8"/>
        <v>0</v>
      </c>
      <c r="N88">
        <f t="shared" si="9"/>
        <v>0</v>
      </c>
      <c r="P88" t="str">
        <f>IF(E88="male",F88,"")</f>
        <v/>
      </c>
      <c r="Q88">
        <f t="shared" si="10"/>
        <v>18</v>
      </c>
    </row>
    <row r="89" spans="1:17" x14ac:dyDescent="0.35">
      <c r="A89">
        <v>979</v>
      </c>
      <c r="B89">
        <v>1</v>
      </c>
      <c r="C89">
        <v>3</v>
      </c>
      <c r="D89" t="s">
        <v>145</v>
      </c>
      <c r="E89" t="s">
        <v>14</v>
      </c>
      <c r="F89">
        <v>18</v>
      </c>
      <c r="G89">
        <v>0</v>
      </c>
      <c r="H89">
        <v>0</v>
      </c>
      <c r="I89" t="s">
        <v>146</v>
      </c>
      <c r="J89">
        <v>8.0500000000000007</v>
      </c>
      <c r="L89" t="s">
        <v>15</v>
      </c>
      <c r="M89">
        <f t="shared" si="8"/>
        <v>0</v>
      </c>
      <c r="N89">
        <f t="shared" si="9"/>
        <v>0</v>
      </c>
      <c r="P89" t="str">
        <f>IF(E89="male",F89,"")</f>
        <v/>
      </c>
      <c r="Q89">
        <f t="shared" si="10"/>
        <v>0</v>
      </c>
    </row>
    <row r="90" spans="1:17" x14ac:dyDescent="0.35">
      <c r="A90">
        <v>980</v>
      </c>
      <c r="B90">
        <v>1</v>
      </c>
      <c r="C90">
        <v>3</v>
      </c>
      <c r="D90" t="s">
        <v>147</v>
      </c>
      <c r="E90" t="s">
        <v>14</v>
      </c>
      <c r="G90">
        <v>0</v>
      </c>
      <c r="H90">
        <v>0</v>
      </c>
      <c r="I90">
        <v>364856</v>
      </c>
      <c r="J90">
        <v>7.75</v>
      </c>
      <c r="L90" t="s">
        <v>12</v>
      </c>
      <c r="M90">
        <f t="shared" si="8"/>
        <v>0</v>
      </c>
      <c r="N90">
        <f t="shared" si="9"/>
        <v>1</v>
      </c>
      <c r="P90" t="str">
        <f>IF(E90="male",F90,"")</f>
        <v/>
      </c>
      <c r="Q90" t="str">
        <f t="shared" si="10"/>
        <v/>
      </c>
    </row>
    <row r="91" spans="1:17" x14ac:dyDescent="0.35">
      <c r="A91">
        <v>981</v>
      </c>
      <c r="B91">
        <v>0</v>
      </c>
      <c r="C91">
        <v>2</v>
      </c>
      <c r="D91" t="s">
        <v>148</v>
      </c>
      <c r="E91" t="s">
        <v>11</v>
      </c>
      <c r="F91">
        <v>2</v>
      </c>
      <c r="G91">
        <v>1</v>
      </c>
      <c r="H91">
        <v>1</v>
      </c>
      <c r="I91">
        <v>29103</v>
      </c>
      <c r="J91">
        <v>23</v>
      </c>
      <c r="L91" t="s">
        <v>15</v>
      </c>
      <c r="M91">
        <f t="shared" si="8"/>
        <v>1</v>
      </c>
      <c r="N91">
        <f t="shared" si="9"/>
        <v>0</v>
      </c>
      <c r="P91">
        <f>IF(E91="male",F91,"")</f>
        <v>2</v>
      </c>
      <c r="Q91">
        <f t="shared" si="10"/>
        <v>22</v>
      </c>
    </row>
    <row r="92" spans="1:17" x14ac:dyDescent="0.35">
      <c r="A92">
        <v>982</v>
      </c>
      <c r="B92">
        <v>1</v>
      </c>
      <c r="C92">
        <v>3</v>
      </c>
      <c r="D92" t="s">
        <v>149</v>
      </c>
      <c r="E92" t="s">
        <v>14</v>
      </c>
      <c r="F92">
        <v>22</v>
      </c>
      <c r="G92">
        <v>1</v>
      </c>
      <c r="H92">
        <v>0</v>
      </c>
      <c r="I92">
        <v>347072</v>
      </c>
      <c r="J92">
        <v>13.9</v>
      </c>
      <c r="L92" t="s">
        <v>15</v>
      </c>
      <c r="M92">
        <f t="shared" si="8"/>
        <v>0</v>
      </c>
      <c r="N92">
        <f t="shared" si="9"/>
        <v>1</v>
      </c>
      <c r="P92" t="str">
        <f>IF(E92="male",F92,"")</f>
        <v/>
      </c>
      <c r="Q92" t="str">
        <f t="shared" si="10"/>
        <v/>
      </c>
    </row>
    <row r="93" spans="1:17" x14ac:dyDescent="0.35">
      <c r="A93">
        <v>983</v>
      </c>
      <c r="B93">
        <v>0</v>
      </c>
      <c r="C93">
        <v>3</v>
      </c>
      <c r="D93" t="s">
        <v>150</v>
      </c>
      <c r="E93" t="s">
        <v>11</v>
      </c>
      <c r="G93">
        <v>0</v>
      </c>
      <c r="H93">
        <v>0</v>
      </c>
      <c r="I93">
        <v>345498</v>
      </c>
      <c r="J93">
        <v>7.7750000000000004</v>
      </c>
      <c r="L93" t="s">
        <v>15</v>
      </c>
      <c r="M93">
        <f t="shared" si="8"/>
        <v>1</v>
      </c>
      <c r="N93">
        <f t="shared" si="9"/>
        <v>0</v>
      </c>
      <c r="Q93">
        <f t="shared" si="10"/>
        <v>27</v>
      </c>
    </row>
    <row r="94" spans="1:17" x14ac:dyDescent="0.35">
      <c r="A94">
        <v>984</v>
      </c>
      <c r="B94">
        <v>1</v>
      </c>
      <c r="C94">
        <v>1</v>
      </c>
      <c r="D94" t="s">
        <v>151</v>
      </c>
      <c r="E94" t="s">
        <v>14</v>
      </c>
      <c r="F94">
        <v>27</v>
      </c>
      <c r="G94">
        <v>1</v>
      </c>
      <c r="H94">
        <v>2</v>
      </c>
      <c r="I94" t="s">
        <v>152</v>
      </c>
      <c r="J94">
        <v>52</v>
      </c>
      <c r="K94" t="s">
        <v>153</v>
      </c>
      <c r="L94" t="s">
        <v>15</v>
      </c>
      <c r="M94">
        <f t="shared" si="8"/>
        <v>0</v>
      </c>
      <c r="N94">
        <f t="shared" si="9"/>
        <v>1</v>
      </c>
      <c r="P94" t="str">
        <f>IF(E94="male",F94,"")</f>
        <v/>
      </c>
      <c r="Q94" t="str">
        <f t="shared" si="10"/>
        <v/>
      </c>
    </row>
    <row r="95" spans="1:17" x14ac:dyDescent="0.35">
      <c r="A95">
        <v>985</v>
      </c>
      <c r="B95">
        <v>0</v>
      </c>
      <c r="C95">
        <v>3</v>
      </c>
      <c r="D95" t="s">
        <v>154</v>
      </c>
      <c r="E95" t="s">
        <v>11</v>
      </c>
      <c r="G95">
        <v>0</v>
      </c>
      <c r="H95">
        <v>0</v>
      </c>
      <c r="I95">
        <v>376563</v>
      </c>
      <c r="J95">
        <v>8.0500000000000007</v>
      </c>
      <c r="L95" t="s">
        <v>15</v>
      </c>
      <c r="M95">
        <f t="shared" si="8"/>
        <v>1</v>
      </c>
      <c r="N95">
        <f t="shared" si="9"/>
        <v>1</v>
      </c>
      <c r="Q95" t="str">
        <f t="shared" si="10"/>
        <v/>
      </c>
    </row>
    <row r="96" spans="1:17" x14ac:dyDescent="0.35">
      <c r="A96">
        <v>986</v>
      </c>
      <c r="B96">
        <v>0</v>
      </c>
      <c r="C96">
        <v>1</v>
      </c>
      <c r="D96" t="s">
        <v>155</v>
      </c>
      <c r="E96" t="s">
        <v>11</v>
      </c>
      <c r="F96">
        <v>25</v>
      </c>
      <c r="G96">
        <v>0</v>
      </c>
      <c r="H96">
        <v>0</v>
      </c>
      <c r="I96">
        <v>13905</v>
      </c>
      <c r="J96">
        <v>26</v>
      </c>
      <c r="L96" t="s">
        <v>23</v>
      </c>
      <c r="M96">
        <f t="shared" si="8"/>
        <v>1</v>
      </c>
      <c r="N96">
        <f t="shared" si="9"/>
        <v>1</v>
      </c>
      <c r="P96">
        <f t="shared" ref="P96:P103" si="12">IF(E96="male",F96,"")</f>
        <v>25</v>
      </c>
      <c r="Q96" t="str">
        <f t="shared" si="10"/>
        <v/>
      </c>
    </row>
    <row r="97" spans="1:17" x14ac:dyDescent="0.35">
      <c r="A97">
        <v>987</v>
      </c>
      <c r="B97">
        <v>0</v>
      </c>
      <c r="C97">
        <v>3</v>
      </c>
      <c r="D97" t="s">
        <v>156</v>
      </c>
      <c r="E97" t="s">
        <v>11</v>
      </c>
      <c r="F97">
        <v>25</v>
      </c>
      <c r="G97">
        <v>0</v>
      </c>
      <c r="H97">
        <v>0</v>
      </c>
      <c r="I97">
        <v>350033</v>
      </c>
      <c r="J97">
        <v>7.7957999999999998</v>
      </c>
      <c r="L97" t="s">
        <v>15</v>
      </c>
      <c r="M97">
        <f t="shared" si="8"/>
        <v>1</v>
      </c>
      <c r="N97">
        <f t="shared" si="9"/>
        <v>0</v>
      </c>
      <c r="P97">
        <f t="shared" si="12"/>
        <v>25</v>
      </c>
      <c r="Q97">
        <f t="shared" si="10"/>
        <v>76</v>
      </c>
    </row>
    <row r="98" spans="1:17" x14ac:dyDescent="0.35">
      <c r="A98">
        <v>988</v>
      </c>
      <c r="B98">
        <v>1</v>
      </c>
      <c r="C98">
        <v>1</v>
      </c>
      <c r="D98" t="s">
        <v>157</v>
      </c>
      <c r="E98" t="s">
        <v>14</v>
      </c>
      <c r="F98">
        <v>76</v>
      </c>
      <c r="G98">
        <v>1</v>
      </c>
      <c r="H98">
        <v>0</v>
      </c>
      <c r="I98">
        <v>19877</v>
      </c>
      <c r="J98">
        <v>78.849999999999994</v>
      </c>
      <c r="K98" t="s">
        <v>158</v>
      </c>
      <c r="L98" t="s">
        <v>15</v>
      </c>
      <c r="M98">
        <f t="shared" si="8"/>
        <v>0</v>
      </c>
      <c r="N98">
        <f t="shared" si="9"/>
        <v>1</v>
      </c>
      <c r="P98" t="str">
        <f t="shared" si="12"/>
        <v/>
      </c>
      <c r="Q98" t="str">
        <f t="shared" si="10"/>
        <v/>
      </c>
    </row>
    <row r="99" spans="1:17" x14ac:dyDescent="0.35">
      <c r="A99">
        <v>989</v>
      </c>
      <c r="B99">
        <v>0</v>
      </c>
      <c r="C99">
        <v>3</v>
      </c>
      <c r="D99" t="s">
        <v>159</v>
      </c>
      <c r="E99" t="s">
        <v>11</v>
      </c>
      <c r="F99">
        <v>29</v>
      </c>
      <c r="G99">
        <v>0</v>
      </c>
      <c r="H99">
        <v>0</v>
      </c>
      <c r="I99" t="s">
        <v>160</v>
      </c>
      <c r="J99">
        <v>7.9249999999999998</v>
      </c>
      <c r="L99" t="s">
        <v>15</v>
      </c>
      <c r="M99">
        <f t="shared" si="8"/>
        <v>1</v>
      </c>
      <c r="N99">
        <f t="shared" si="9"/>
        <v>0</v>
      </c>
      <c r="P99">
        <f t="shared" si="12"/>
        <v>29</v>
      </c>
      <c r="Q99">
        <f t="shared" si="10"/>
        <v>20</v>
      </c>
    </row>
    <row r="100" spans="1:17" x14ac:dyDescent="0.35">
      <c r="A100">
        <v>990</v>
      </c>
      <c r="B100">
        <v>1</v>
      </c>
      <c r="C100">
        <v>3</v>
      </c>
      <c r="D100" t="s">
        <v>161</v>
      </c>
      <c r="E100" t="s">
        <v>14</v>
      </c>
      <c r="F100">
        <v>20</v>
      </c>
      <c r="G100">
        <v>0</v>
      </c>
      <c r="H100">
        <v>0</v>
      </c>
      <c r="I100">
        <v>347471</v>
      </c>
      <c r="J100">
        <v>7.8541999999999996</v>
      </c>
      <c r="L100" t="s">
        <v>15</v>
      </c>
      <c r="M100">
        <f t="shared" si="8"/>
        <v>0</v>
      </c>
      <c r="N100">
        <f t="shared" si="9"/>
        <v>1</v>
      </c>
      <c r="P100" t="str">
        <f t="shared" si="12"/>
        <v/>
      </c>
      <c r="Q100" t="str">
        <f t="shared" si="10"/>
        <v/>
      </c>
    </row>
    <row r="101" spans="1:17" x14ac:dyDescent="0.35">
      <c r="A101">
        <v>991</v>
      </c>
      <c r="B101">
        <v>0</v>
      </c>
      <c r="C101">
        <v>3</v>
      </c>
      <c r="D101" t="s">
        <v>162</v>
      </c>
      <c r="E101" t="s">
        <v>11</v>
      </c>
      <c r="F101">
        <v>33</v>
      </c>
      <c r="G101">
        <v>0</v>
      </c>
      <c r="H101">
        <v>0</v>
      </c>
      <c r="I101" t="s">
        <v>163</v>
      </c>
      <c r="J101">
        <v>8.0500000000000007</v>
      </c>
      <c r="L101" t="s">
        <v>15</v>
      </c>
      <c r="M101">
        <f t="shared" si="8"/>
        <v>1</v>
      </c>
      <c r="N101">
        <f t="shared" si="9"/>
        <v>0</v>
      </c>
      <c r="P101">
        <f t="shared" si="12"/>
        <v>33</v>
      </c>
      <c r="Q101">
        <f t="shared" si="10"/>
        <v>43</v>
      </c>
    </row>
    <row r="102" spans="1:17" x14ac:dyDescent="0.35">
      <c r="A102">
        <v>992</v>
      </c>
      <c r="B102">
        <v>1</v>
      </c>
      <c r="C102">
        <v>1</v>
      </c>
      <c r="D102" t="s">
        <v>164</v>
      </c>
      <c r="E102" t="s">
        <v>14</v>
      </c>
      <c r="F102">
        <v>43</v>
      </c>
      <c r="G102">
        <v>1</v>
      </c>
      <c r="H102">
        <v>0</v>
      </c>
      <c r="I102">
        <v>11778</v>
      </c>
      <c r="J102">
        <v>55.441699999999997</v>
      </c>
      <c r="K102" t="s">
        <v>165</v>
      </c>
      <c r="L102" t="s">
        <v>23</v>
      </c>
      <c r="M102">
        <f t="shared" si="8"/>
        <v>0</v>
      </c>
      <c r="N102">
        <f t="shared" si="9"/>
        <v>1</v>
      </c>
      <c r="P102" t="str">
        <f t="shared" si="12"/>
        <v/>
      </c>
      <c r="Q102" t="str">
        <f t="shared" si="10"/>
        <v/>
      </c>
    </row>
    <row r="103" spans="1:17" x14ac:dyDescent="0.35">
      <c r="A103">
        <v>993</v>
      </c>
      <c r="B103">
        <v>0</v>
      </c>
      <c r="C103">
        <v>2</v>
      </c>
      <c r="D103" t="s">
        <v>166</v>
      </c>
      <c r="E103" t="s">
        <v>11</v>
      </c>
      <c r="F103">
        <v>27</v>
      </c>
      <c r="G103">
        <v>1</v>
      </c>
      <c r="H103">
        <v>0</v>
      </c>
      <c r="I103">
        <v>228414</v>
      </c>
      <c r="J103">
        <v>26</v>
      </c>
      <c r="L103" t="s">
        <v>15</v>
      </c>
      <c r="M103">
        <f t="shared" si="8"/>
        <v>1</v>
      </c>
      <c r="N103">
        <f t="shared" si="9"/>
        <v>1</v>
      </c>
      <c r="P103">
        <f t="shared" si="12"/>
        <v>27</v>
      </c>
      <c r="Q103" t="str">
        <f t="shared" si="10"/>
        <v/>
      </c>
    </row>
    <row r="104" spans="1:17" x14ac:dyDescent="0.35">
      <c r="A104">
        <v>994</v>
      </c>
      <c r="B104">
        <v>0</v>
      </c>
      <c r="C104">
        <v>3</v>
      </c>
      <c r="D104" t="s">
        <v>167</v>
      </c>
      <c r="E104" t="s">
        <v>11</v>
      </c>
      <c r="G104">
        <v>0</v>
      </c>
      <c r="H104">
        <v>0</v>
      </c>
      <c r="I104">
        <v>365235</v>
      </c>
      <c r="J104">
        <v>7.75</v>
      </c>
      <c r="L104" t="s">
        <v>12</v>
      </c>
      <c r="M104">
        <f t="shared" si="8"/>
        <v>1</v>
      </c>
      <c r="N104">
        <f t="shared" si="9"/>
        <v>1</v>
      </c>
      <c r="Q104" t="str">
        <f t="shared" si="10"/>
        <v/>
      </c>
    </row>
    <row r="105" spans="1:17" x14ac:dyDescent="0.35">
      <c r="A105">
        <v>995</v>
      </c>
      <c r="B105">
        <v>0</v>
      </c>
      <c r="C105">
        <v>3</v>
      </c>
      <c r="D105" t="s">
        <v>168</v>
      </c>
      <c r="E105" t="s">
        <v>11</v>
      </c>
      <c r="F105">
        <v>26</v>
      </c>
      <c r="G105">
        <v>0</v>
      </c>
      <c r="H105">
        <v>0</v>
      </c>
      <c r="I105">
        <v>347070</v>
      </c>
      <c r="J105">
        <v>7.7750000000000004</v>
      </c>
      <c r="L105" t="s">
        <v>15</v>
      </c>
      <c r="M105">
        <f t="shared" si="8"/>
        <v>1</v>
      </c>
      <c r="N105">
        <f t="shared" si="9"/>
        <v>0</v>
      </c>
      <c r="P105">
        <f>IF(E105="male",F105,"")</f>
        <v>26</v>
      </c>
      <c r="Q105">
        <f t="shared" si="10"/>
        <v>16</v>
      </c>
    </row>
    <row r="106" spans="1:17" x14ac:dyDescent="0.35">
      <c r="A106">
        <v>996</v>
      </c>
      <c r="B106">
        <v>1</v>
      </c>
      <c r="C106">
        <v>3</v>
      </c>
      <c r="D106" t="s">
        <v>169</v>
      </c>
      <c r="E106" t="s">
        <v>14</v>
      </c>
      <c r="F106">
        <v>16</v>
      </c>
      <c r="G106">
        <v>1</v>
      </c>
      <c r="H106">
        <v>1</v>
      </c>
      <c r="I106">
        <v>2625</v>
      </c>
      <c r="J106">
        <v>8.5167000000000002</v>
      </c>
      <c r="L106" t="s">
        <v>23</v>
      </c>
      <c r="M106">
        <f t="shared" si="8"/>
        <v>0</v>
      </c>
      <c r="N106">
        <f t="shared" si="9"/>
        <v>1</v>
      </c>
      <c r="P106" t="str">
        <f>IF(E106="male",F106,"")</f>
        <v/>
      </c>
      <c r="Q106" t="str">
        <f t="shared" si="10"/>
        <v/>
      </c>
    </row>
    <row r="107" spans="1:17" x14ac:dyDescent="0.35">
      <c r="A107">
        <v>997</v>
      </c>
      <c r="B107">
        <v>0</v>
      </c>
      <c r="C107">
        <v>3</v>
      </c>
      <c r="D107" t="s">
        <v>170</v>
      </c>
      <c r="E107" t="s">
        <v>11</v>
      </c>
      <c r="F107">
        <v>28</v>
      </c>
      <c r="G107">
        <v>0</v>
      </c>
      <c r="H107">
        <v>0</v>
      </c>
      <c r="I107" t="s">
        <v>171</v>
      </c>
      <c r="J107">
        <v>22.524999999999999</v>
      </c>
      <c r="L107" t="s">
        <v>15</v>
      </c>
      <c r="M107">
        <f t="shared" si="8"/>
        <v>1</v>
      </c>
      <c r="N107">
        <f t="shared" si="9"/>
        <v>1</v>
      </c>
      <c r="P107">
        <f>IF(E107="male",F107,"")</f>
        <v>28</v>
      </c>
      <c r="Q107" t="str">
        <f t="shared" si="10"/>
        <v/>
      </c>
    </row>
    <row r="108" spans="1:17" x14ac:dyDescent="0.35">
      <c r="A108">
        <v>998</v>
      </c>
      <c r="B108">
        <v>0</v>
      </c>
      <c r="C108">
        <v>3</v>
      </c>
      <c r="D108" t="s">
        <v>172</v>
      </c>
      <c r="E108" t="s">
        <v>11</v>
      </c>
      <c r="F108">
        <v>21</v>
      </c>
      <c r="G108">
        <v>0</v>
      </c>
      <c r="H108">
        <v>0</v>
      </c>
      <c r="I108">
        <v>330920</v>
      </c>
      <c r="J108">
        <v>7.8208000000000002</v>
      </c>
      <c r="L108" t="s">
        <v>12</v>
      </c>
      <c r="M108">
        <f t="shared" si="8"/>
        <v>1</v>
      </c>
      <c r="N108">
        <f t="shared" si="9"/>
        <v>1</v>
      </c>
      <c r="P108">
        <f>IF(E108="male",F108,"")</f>
        <v>21</v>
      </c>
      <c r="Q108" t="str">
        <f t="shared" si="10"/>
        <v/>
      </c>
    </row>
    <row r="109" spans="1:17" x14ac:dyDescent="0.35">
      <c r="A109">
        <v>999</v>
      </c>
      <c r="B109">
        <v>0</v>
      </c>
      <c r="C109">
        <v>3</v>
      </c>
      <c r="D109" t="s">
        <v>173</v>
      </c>
      <c r="E109" t="s">
        <v>11</v>
      </c>
      <c r="G109">
        <v>0</v>
      </c>
      <c r="H109">
        <v>0</v>
      </c>
      <c r="I109">
        <v>383162</v>
      </c>
      <c r="J109">
        <v>7.75</v>
      </c>
      <c r="L109" t="s">
        <v>12</v>
      </c>
      <c r="M109">
        <f t="shared" si="8"/>
        <v>1</v>
      </c>
      <c r="N109">
        <f t="shared" si="9"/>
        <v>1</v>
      </c>
      <c r="Q109" t="str">
        <f t="shared" si="10"/>
        <v/>
      </c>
    </row>
    <row r="110" spans="1:17" x14ac:dyDescent="0.35">
      <c r="A110">
        <v>1000</v>
      </c>
      <c r="B110">
        <v>0</v>
      </c>
      <c r="C110">
        <v>3</v>
      </c>
      <c r="D110" t="s">
        <v>174</v>
      </c>
      <c r="E110" t="s">
        <v>11</v>
      </c>
      <c r="G110">
        <v>0</v>
      </c>
      <c r="H110">
        <v>0</v>
      </c>
      <c r="I110">
        <v>3410</v>
      </c>
      <c r="J110">
        <v>8.7125000000000004</v>
      </c>
      <c r="L110" t="s">
        <v>15</v>
      </c>
      <c r="M110">
        <f t="shared" si="8"/>
        <v>1</v>
      </c>
      <c r="N110">
        <f t="shared" si="9"/>
        <v>1</v>
      </c>
      <c r="Q110" t="str">
        <f t="shared" si="10"/>
        <v/>
      </c>
    </row>
    <row r="111" spans="1:17" x14ac:dyDescent="0.35">
      <c r="A111">
        <v>1001</v>
      </c>
      <c r="B111">
        <v>0</v>
      </c>
      <c r="C111">
        <v>2</v>
      </c>
      <c r="D111" t="s">
        <v>175</v>
      </c>
      <c r="E111" t="s">
        <v>11</v>
      </c>
      <c r="F111">
        <v>18.5</v>
      </c>
      <c r="G111">
        <v>0</v>
      </c>
      <c r="H111">
        <v>0</v>
      </c>
      <c r="I111">
        <v>248734</v>
      </c>
      <c r="J111">
        <v>13</v>
      </c>
      <c r="K111" t="s">
        <v>176</v>
      </c>
      <c r="L111" t="s">
        <v>15</v>
      </c>
      <c r="M111">
        <f t="shared" si="8"/>
        <v>1</v>
      </c>
      <c r="N111">
        <f t="shared" si="9"/>
        <v>1</v>
      </c>
      <c r="P111">
        <f t="shared" ref="P111:P117" si="13">IF(E111="male",F111,"")</f>
        <v>18.5</v>
      </c>
      <c r="Q111" t="str">
        <f t="shared" si="10"/>
        <v/>
      </c>
    </row>
    <row r="112" spans="1:17" x14ac:dyDescent="0.35">
      <c r="A112">
        <v>1002</v>
      </c>
      <c r="B112">
        <v>0</v>
      </c>
      <c r="C112">
        <v>2</v>
      </c>
      <c r="D112" t="s">
        <v>177</v>
      </c>
      <c r="E112" t="s">
        <v>11</v>
      </c>
      <c r="F112">
        <v>41</v>
      </c>
      <c r="G112">
        <v>0</v>
      </c>
      <c r="H112">
        <v>0</v>
      </c>
      <c r="I112">
        <v>237734</v>
      </c>
      <c r="J112">
        <v>15.0458</v>
      </c>
      <c r="L112" t="s">
        <v>23</v>
      </c>
      <c r="M112">
        <f t="shared" si="8"/>
        <v>1</v>
      </c>
      <c r="N112">
        <f t="shared" si="9"/>
        <v>0</v>
      </c>
      <c r="P112">
        <f t="shared" si="13"/>
        <v>41</v>
      </c>
      <c r="Q112">
        <f t="shared" si="10"/>
        <v>0</v>
      </c>
    </row>
    <row r="113" spans="1:17" x14ac:dyDescent="0.35">
      <c r="A113">
        <v>1003</v>
      </c>
      <c r="B113">
        <v>1</v>
      </c>
      <c r="C113">
        <v>3</v>
      </c>
      <c r="D113" t="s">
        <v>178</v>
      </c>
      <c r="E113" t="s">
        <v>14</v>
      </c>
      <c r="G113">
        <v>0</v>
      </c>
      <c r="H113">
        <v>0</v>
      </c>
      <c r="I113">
        <v>330968</v>
      </c>
      <c r="J113">
        <v>7.7792000000000003</v>
      </c>
      <c r="L113" t="s">
        <v>12</v>
      </c>
      <c r="M113">
        <f t="shared" si="8"/>
        <v>0</v>
      </c>
      <c r="N113">
        <f t="shared" si="9"/>
        <v>0</v>
      </c>
      <c r="P113" t="str">
        <f t="shared" si="13"/>
        <v/>
      </c>
      <c r="Q113">
        <f t="shared" si="10"/>
        <v>36</v>
      </c>
    </row>
    <row r="114" spans="1:17" x14ac:dyDescent="0.35">
      <c r="A114">
        <v>1004</v>
      </c>
      <c r="B114">
        <v>1</v>
      </c>
      <c r="C114">
        <v>1</v>
      </c>
      <c r="D114" t="s">
        <v>179</v>
      </c>
      <c r="E114" t="s">
        <v>14</v>
      </c>
      <c r="F114">
        <v>36</v>
      </c>
      <c r="G114">
        <v>0</v>
      </c>
      <c r="H114">
        <v>0</v>
      </c>
      <c r="I114" t="s">
        <v>180</v>
      </c>
      <c r="J114">
        <v>31.679200000000002</v>
      </c>
      <c r="K114" t="s">
        <v>181</v>
      </c>
      <c r="L114" t="s">
        <v>23</v>
      </c>
      <c r="M114">
        <f t="shared" si="8"/>
        <v>0</v>
      </c>
      <c r="N114">
        <f t="shared" si="9"/>
        <v>0</v>
      </c>
      <c r="P114" t="str">
        <f t="shared" si="13"/>
        <v/>
      </c>
      <c r="Q114">
        <f t="shared" si="10"/>
        <v>18.5</v>
      </c>
    </row>
    <row r="115" spans="1:17" x14ac:dyDescent="0.35">
      <c r="A115">
        <v>1005</v>
      </c>
      <c r="B115">
        <v>1</v>
      </c>
      <c r="C115">
        <v>3</v>
      </c>
      <c r="D115" t="s">
        <v>182</v>
      </c>
      <c r="E115" t="s">
        <v>14</v>
      </c>
      <c r="F115">
        <v>18.5</v>
      </c>
      <c r="G115">
        <v>0</v>
      </c>
      <c r="H115">
        <v>0</v>
      </c>
      <c r="I115">
        <v>329944</v>
      </c>
      <c r="J115">
        <v>7.2832999999999997</v>
      </c>
      <c r="L115" t="s">
        <v>12</v>
      </c>
      <c r="M115">
        <f t="shared" si="8"/>
        <v>0</v>
      </c>
      <c r="N115">
        <f t="shared" si="9"/>
        <v>0</v>
      </c>
      <c r="P115" t="str">
        <f t="shared" si="13"/>
        <v/>
      </c>
      <c r="Q115">
        <f t="shared" si="10"/>
        <v>63</v>
      </c>
    </row>
    <row r="116" spans="1:17" x14ac:dyDescent="0.35">
      <c r="A116">
        <v>1006</v>
      </c>
      <c r="B116">
        <v>1</v>
      </c>
      <c r="C116">
        <v>1</v>
      </c>
      <c r="D116" t="s">
        <v>183</v>
      </c>
      <c r="E116" t="s">
        <v>14</v>
      </c>
      <c r="F116">
        <v>63</v>
      </c>
      <c r="G116">
        <v>1</v>
      </c>
      <c r="H116">
        <v>0</v>
      </c>
      <c r="I116" t="s">
        <v>138</v>
      </c>
      <c r="J116">
        <v>221.7792</v>
      </c>
      <c r="K116" t="s">
        <v>139</v>
      </c>
      <c r="L116" t="s">
        <v>15</v>
      </c>
      <c r="M116">
        <f t="shared" si="8"/>
        <v>0</v>
      </c>
      <c r="N116">
        <f t="shared" si="9"/>
        <v>1</v>
      </c>
      <c r="P116" t="str">
        <f t="shared" si="13"/>
        <v/>
      </c>
      <c r="Q116" t="str">
        <f t="shared" si="10"/>
        <v/>
      </c>
    </row>
    <row r="117" spans="1:17" x14ac:dyDescent="0.35">
      <c r="A117">
        <v>1007</v>
      </c>
      <c r="B117">
        <v>0</v>
      </c>
      <c r="C117">
        <v>3</v>
      </c>
      <c r="D117" t="s">
        <v>184</v>
      </c>
      <c r="E117" t="s">
        <v>11</v>
      </c>
      <c r="F117">
        <v>18</v>
      </c>
      <c r="G117">
        <v>1</v>
      </c>
      <c r="H117">
        <v>0</v>
      </c>
      <c r="I117">
        <v>2680</v>
      </c>
      <c r="J117">
        <v>14.4542</v>
      </c>
      <c r="L117" t="s">
        <v>23</v>
      </c>
      <c r="M117">
        <f t="shared" si="8"/>
        <v>1</v>
      </c>
      <c r="N117">
        <f t="shared" si="9"/>
        <v>1</v>
      </c>
      <c r="P117">
        <f t="shared" si="13"/>
        <v>18</v>
      </c>
      <c r="Q117" t="str">
        <f t="shared" si="10"/>
        <v/>
      </c>
    </row>
    <row r="118" spans="1:17" x14ac:dyDescent="0.35">
      <c r="A118">
        <v>1008</v>
      </c>
      <c r="B118">
        <v>0</v>
      </c>
      <c r="C118">
        <v>3</v>
      </c>
      <c r="D118" t="s">
        <v>185</v>
      </c>
      <c r="E118" t="s">
        <v>11</v>
      </c>
      <c r="G118">
        <v>0</v>
      </c>
      <c r="H118">
        <v>0</v>
      </c>
      <c r="I118">
        <v>2681</v>
      </c>
      <c r="J118">
        <v>6.4375</v>
      </c>
      <c r="L118" t="s">
        <v>23</v>
      </c>
      <c r="M118">
        <f t="shared" si="8"/>
        <v>1</v>
      </c>
      <c r="N118">
        <f t="shared" si="9"/>
        <v>0</v>
      </c>
      <c r="Q118">
        <f t="shared" si="10"/>
        <v>1</v>
      </c>
    </row>
    <row r="119" spans="1:17" x14ac:dyDescent="0.35">
      <c r="A119">
        <v>1009</v>
      </c>
      <c r="B119">
        <v>1</v>
      </c>
      <c r="C119">
        <v>3</v>
      </c>
      <c r="D119" t="s">
        <v>186</v>
      </c>
      <c r="E119" t="s">
        <v>14</v>
      </c>
      <c r="F119">
        <v>1</v>
      </c>
      <c r="G119">
        <v>1</v>
      </c>
      <c r="H119">
        <v>1</v>
      </c>
      <c r="I119" t="s">
        <v>187</v>
      </c>
      <c r="J119">
        <v>16.7</v>
      </c>
      <c r="K119" t="s">
        <v>188</v>
      </c>
      <c r="L119" t="s">
        <v>15</v>
      </c>
      <c r="M119">
        <f t="shared" si="8"/>
        <v>0</v>
      </c>
      <c r="N119">
        <f t="shared" si="9"/>
        <v>1</v>
      </c>
      <c r="P119" t="str">
        <f>IF(E119="male",F119,"")</f>
        <v/>
      </c>
      <c r="Q119" t="str">
        <f t="shared" si="10"/>
        <v/>
      </c>
    </row>
    <row r="120" spans="1:17" x14ac:dyDescent="0.35">
      <c r="A120">
        <v>1010</v>
      </c>
      <c r="B120">
        <v>0</v>
      </c>
      <c r="C120">
        <v>1</v>
      </c>
      <c r="D120" t="s">
        <v>189</v>
      </c>
      <c r="E120" t="s">
        <v>11</v>
      </c>
      <c r="F120">
        <v>36</v>
      </c>
      <c r="G120">
        <v>0</v>
      </c>
      <c r="H120">
        <v>0</v>
      </c>
      <c r="I120">
        <v>13050</v>
      </c>
      <c r="J120">
        <v>75.241699999999994</v>
      </c>
      <c r="K120" t="s">
        <v>190</v>
      </c>
      <c r="L120" t="s">
        <v>23</v>
      </c>
      <c r="M120">
        <f t="shared" si="8"/>
        <v>1</v>
      </c>
      <c r="N120">
        <f t="shared" si="9"/>
        <v>0</v>
      </c>
      <c r="P120">
        <f>IF(E120="male",F120,"")</f>
        <v>36</v>
      </c>
      <c r="Q120">
        <f t="shared" si="10"/>
        <v>29</v>
      </c>
    </row>
    <row r="121" spans="1:17" x14ac:dyDescent="0.35">
      <c r="A121">
        <v>1011</v>
      </c>
      <c r="B121">
        <v>1</v>
      </c>
      <c r="C121">
        <v>2</v>
      </c>
      <c r="D121" t="s">
        <v>191</v>
      </c>
      <c r="E121" t="s">
        <v>14</v>
      </c>
      <c r="F121">
        <v>29</v>
      </c>
      <c r="G121">
        <v>1</v>
      </c>
      <c r="H121">
        <v>0</v>
      </c>
      <c r="I121" t="s">
        <v>192</v>
      </c>
      <c r="J121">
        <v>26</v>
      </c>
      <c r="L121" t="s">
        <v>15</v>
      </c>
      <c r="M121">
        <f t="shared" si="8"/>
        <v>0</v>
      </c>
      <c r="N121">
        <f t="shared" si="9"/>
        <v>0</v>
      </c>
      <c r="P121" t="str">
        <f>IF(E121="male",F121,"")</f>
        <v/>
      </c>
      <c r="Q121">
        <f t="shared" si="10"/>
        <v>12</v>
      </c>
    </row>
    <row r="122" spans="1:17" x14ac:dyDescent="0.35">
      <c r="A122">
        <v>1012</v>
      </c>
      <c r="B122">
        <v>1</v>
      </c>
      <c r="C122">
        <v>2</v>
      </c>
      <c r="D122" t="s">
        <v>193</v>
      </c>
      <c r="E122" t="s">
        <v>14</v>
      </c>
      <c r="F122">
        <v>12</v>
      </c>
      <c r="G122">
        <v>0</v>
      </c>
      <c r="H122">
        <v>0</v>
      </c>
      <c r="I122" t="s">
        <v>194</v>
      </c>
      <c r="J122">
        <v>15.75</v>
      </c>
      <c r="L122" t="s">
        <v>15</v>
      </c>
      <c r="M122">
        <f t="shared" si="8"/>
        <v>0</v>
      </c>
      <c r="N122">
        <f t="shared" si="9"/>
        <v>1</v>
      </c>
      <c r="P122" t="str">
        <f>IF(E122="male",F122,"")</f>
        <v/>
      </c>
      <c r="Q122" t="str">
        <f t="shared" si="10"/>
        <v/>
      </c>
    </row>
    <row r="123" spans="1:17" x14ac:dyDescent="0.35">
      <c r="A123">
        <v>1013</v>
      </c>
      <c r="B123">
        <v>0</v>
      </c>
      <c r="C123">
        <v>3</v>
      </c>
      <c r="D123" t="s">
        <v>195</v>
      </c>
      <c r="E123" t="s">
        <v>11</v>
      </c>
      <c r="G123">
        <v>1</v>
      </c>
      <c r="H123">
        <v>0</v>
      </c>
      <c r="I123">
        <v>367227</v>
      </c>
      <c r="J123">
        <v>7.75</v>
      </c>
      <c r="L123" t="s">
        <v>12</v>
      </c>
      <c r="M123">
        <f t="shared" si="8"/>
        <v>1</v>
      </c>
      <c r="N123">
        <f t="shared" si="9"/>
        <v>0</v>
      </c>
      <c r="Q123">
        <f t="shared" si="10"/>
        <v>35</v>
      </c>
    </row>
    <row r="124" spans="1:17" x14ac:dyDescent="0.35">
      <c r="A124">
        <v>1014</v>
      </c>
      <c r="B124">
        <v>1</v>
      </c>
      <c r="C124">
        <v>1</v>
      </c>
      <c r="D124" t="s">
        <v>196</v>
      </c>
      <c r="E124" t="s">
        <v>14</v>
      </c>
      <c r="F124">
        <v>35</v>
      </c>
      <c r="G124">
        <v>1</v>
      </c>
      <c r="H124">
        <v>0</v>
      </c>
      <c r="I124">
        <v>13236</v>
      </c>
      <c r="J124">
        <v>57.75</v>
      </c>
      <c r="K124" t="s">
        <v>197</v>
      </c>
      <c r="L124" t="s">
        <v>23</v>
      </c>
      <c r="M124">
        <f t="shared" si="8"/>
        <v>0</v>
      </c>
      <c r="N124">
        <f t="shared" si="9"/>
        <v>1</v>
      </c>
      <c r="P124" t="str">
        <f>IF(E124="male",F124,"")</f>
        <v/>
      </c>
      <c r="Q124" t="str">
        <f t="shared" si="10"/>
        <v/>
      </c>
    </row>
    <row r="125" spans="1:17" x14ac:dyDescent="0.35">
      <c r="A125">
        <v>1015</v>
      </c>
      <c r="B125">
        <v>0</v>
      </c>
      <c r="C125">
        <v>3</v>
      </c>
      <c r="D125" t="s">
        <v>198</v>
      </c>
      <c r="E125" t="s">
        <v>11</v>
      </c>
      <c r="F125">
        <v>28</v>
      </c>
      <c r="G125">
        <v>0</v>
      </c>
      <c r="H125">
        <v>0</v>
      </c>
      <c r="I125">
        <v>392095</v>
      </c>
      <c r="J125">
        <v>7.25</v>
      </c>
      <c r="L125" t="s">
        <v>15</v>
      </c>
      <c r="M125">
        <f t="shared" si="8"/>
        <v>1</v>
      </c>
      <c r="N125">
        <f t="shared" si="9"/>
        <v>1</v>
      </c>
      <c r="P125">
        <f>IF(E125="male",F125,"")</f>
        <v>28</v>
      </c>
      <c r="Q125" t="str">
        <f t="shared" si="10"/>
        <v/>
      </c>
    </row>
    <row r="126" spans="1:17" x14ac:dyDescent="0.35">
      <c r="A126">
        <v>1016</v>
      </c>
      <c r="B126">
        <v>0</v>
      </c>
      <c r="C126">
        <v>3</v>
      </c>
      <c r="D126" t="s">
        <v>199</v>
      </c>
      <c r="E126" t="s">
        <v>11</v>
      </c>
      <c r="G126">
        <v>0</v>
      </c>
      <c r="H126">
        <v>0</v>
      </c>
      <c r="I126">
        <v>368783</v>
      </c>
      <c r="J126">
        <v>7.75</v>
      </c>
      <c r="L126" t="s">
        <v>12</v>
      </c>
      <c r="M126">
        <f t="shared" si="8"/>
        <v>1</v>
      </c>
      <c r="N126">
        <f t="shared" si="9"/>
        <v>0</v>
      </c>
      <c r="Q126">
        <f t="shared" si="10"/>
        <v>17</v>
      </c>
    </row>
    <row r="127" spans="1:17" x14ac:dyDescent="0.35">
      <c r="A127">
        <v>1017</v>
      </c>
      <c r="B127">
        <v>1</v>
      </c>
      <c r="C127">
        <v>3</v>
      </c>
      <c r="D127" t="s">
        <v>200</v>
      </c>
      <c r="E127" t="s">
        <v>14</v>
      </c>
      <c r="F127">
        <v>17</v>
      </c>
      <c r="G127">
        <v>0</v>
      </c>
      <c r="H127">
        <v>1</v>
      </c>
      <c r="I127">
        <v>371362</v>
      </c>
      <c r="J127">
        <v>16.100000000000001</v>
      </c>
      <c r="L127" t="s">
        <v>15</v>
      </c>
      <c r="M127">
        <f t="shared" si="8"/>
        <v>0</v>
      </c>
      <c r="N127">
        <f t="shared" si="9"/>
        <v>1</v>
      </c>
      <c r="P127" t="str">
        <f t="shared" ref="P127:P134" si="14">IF(E127="male",F127,"")</f>
        <v/>
      </c>
      <c r="Q127" t="str">
        <f t="shared" si="10"/>
        <v/>
      </c>
    </row>
    <row r="128" spans="1:17" x14ac:dyDescent="0.35">
      <c r="A128">
        <v>1018</v>
      </c>
      <c r="B128">
        <v>0</v>
      </c>
      <c r="C128">
        <v>3</v>
      </c>
      <c r="D128" t="s">
        <v>201</v>
      </c>
      <c r="E128" t="s">
        <v>11</v>
      </c>
      <c r="F128">
        <v>22</v>
      </c>
      <c r="G128">
        <v>0</v>
      </c>
      <c r="H128">
        <v>0</v>
      </c>
      <c r="I128">
        <v>350045</v>
      </c>
      <c r="J128">
        <v>7.7957999999999998</v>
      </c>
      <c r="L128" t="s">
        <v>15</v>
      </c>
      <c r="M128">
        <f t="shared" si="8"/>
        <v>1</v>
      </c>
      <c r="N128">
        <f t="shared" si="9"/>
        <v>0</v>
      </c>
      <c r="P128">
        <f t="shared" si="14"/>
        <v>22</v>
      </c>
      <c r="Q128">
        <f t="shared" si="10"/>
        <v>0</v>
      </c>
    </row>
    <row r="129" spans="1:17" x14ac:dyDescent="0.35">
      <c r="A129">
        <v>1019</v>
      </c>
      <c r="B129">
        <v>1</v>
      </c>
      <c r="C129">
        <v>3</v>
      </c>
      <c r="D129" t="s">
        <v>202</v>
      </c>
      <c r="E129" t="s">
        <v>14</v>
      </c>
      <c r="G129">
        <v>2</v>
      </c>
      <c r="H129">
        <v>0</v>
      </c>
      <c r="I129">
        <v>367226</v>
      </c>
      <c r="J129">
        <v>23.25</v>
      </c>
      <c r="L129" t="s">
        <v>12</v>
      </c>
      <c r="M129">
        <f t="shared" si="8"/>
        <v>0</v>
      </c>
      <c r="N129">
        <f t="shared" si="9"/>
        <v>1</v>
      </c>
      <c r="P129" t="str">
        <f t="shared" si="14"/>
        <v/>
      </c>
      <c r="Q129" t="str">
        <f t="shared" si="10"/>
        <v/>
      </c>
    </row>
    <row r="130" spans="1:17" x14ac:dyDescent="0.35">
      <c r="A130">
        <v>1020</v>
      </c>
      <c r="B130">
        <v>0</v>
      </c>
      <c r="C130">
        <v>2</v>
      </c>
      <c r="D130" t="s">
        <v>203</v>
      </c>
      <c r="E130" t="s">
        <v>11</v>
      </c>
      <c r="F130">
        <v>42</v>
      </c>
      <c r="G130">
        <v>0</v>
      </c>
      <c r="H130">
        <v>0</v>
      </c>
      <c r="I130">
        <v>211535</v>
      </c>
      <c r="J130">
        <v>13</v>
      </c>
      <c r="L130" t="s">
        <v>15</v>
      </c>
      <c r="M130">
        <f t="shared" si="8"/>
        <v>1</v>
      </c>
      <c r="N130">
        <f t="shared" si="9"/>
        <v>1</v>
      </c>
      <c r="P130">
        <f t="shared" si="14"/>
        <v>42</v>
      </c>
      <c r="Q130" t="str">
        <f t="shared" si="10"/>
        <v/>
      </c>
    </row>
    <row r="131" spans="1:17" x14ac:dyDescent="0.35">
      <c r="A131">
        <v>1021</v>
      </c>
      <c r="B131">
        <v>0</v>
      </c>
      <c r="C131">
        <v>3</v>
      </c>
      <c r="D131" t="s">
        <v>204</v>
      </c>
      <c r="E131" t="s">
        <v>11</v>
      </c>
      <c r="F131">
        <v>24</v>
      </c>
      <c r="G131">
        <v>0</v>
      </c>
      <c r="H131">
        <v>0</v>
      </c>
      <c r="I131">
        <v>342441</v>
      </c>
      <c r="J131">
        <v>8.0500000000000007</v>
      </c>
      <c r="L131" t="s">
        <v>15</v>
      </c>
      <c r="M131">
        <f t="shared" ref="M131:M194" si="15">IF(E131="male",1,0)</f>
        <v>1</v>
      </c>
      <c r="N131">
        <f t="shared" ref="N131:N194" si="16">IF(E132="female",0,1)</f>
        <v>1</v>
      </c>
      <c r="P131">
        <f t="shared" si="14"/>
        <v>24</v>
      </c>
      <c r="Q131" t="str">
        <f t="shared" ref="Q131:Q194" si="17">IF(E132="female",F132,"")</f>
        <v/>
      </c>
    </row>
    <row r="132" spans="1:17" x14ac:dyDescent="0.35">
      <c r="A132">
        <v>1022</v>
      </c>
      <c r="B132">
        <v>0</v>
      </c>
      <c r="C132">
        <v>3</v>
      </c>
      <c r="D132" t="s">
        <v>205</v>
      </c>
      <c r="E132" t="s">
        <v>11</v>
      </c>
      <c r="F132">
        <v>32</v>
      </c>
      <c r="G132">
        <v>0</v>
      </c>
      <c r="H132">
        <v>0</v>
      </c>
      <c r="I132" t="s">
        <v>206</v>
      </c>
      <c r="J132">
        <v>8.0500000000000007</v>
      </c>
      <c r="L132" t="s">
        <v>15</v>
      </c>
      <c r="M132">
        <f t="shared" si="15"/>
        <v>1</v>
      </c>
      <c r="N132">
        <f t="shared" si="16"/>
        <v>1</v>
      </c>
      <c r="P132">
        <f t="shared" si="14"/>
        <v>32</v>
      </c>
      <c r="Q132" t="str">
        <f t="shared" si="17"/>
        <v/>
      </c>
    </row>
    <row r="133" spans="1:17" x14ac:dyDescent="0.35">
      <c r="A133">
        <v>1023</v>
      </c>
      <c r="B133">
        <v>0</v>
      </c>
      <c r="C133">
        <v>1</v>
      </c>
      <c r="D133" t="s">
        <v>207</v>
      </c>
      <c r="E133" t="s">
        <v>11</v>
      </c>
      <c r="F133">
        <v>53</v>
      </c>
      <c r="G133">
        <v>0</v>
      </c>
      <c r="H133">
        <v>0</v>
      </c>
      <c r="I133">
        <v>113780</v>
      </c>
      <c r="J133">
        <v>28.5</v>
      </c>
      <c r="K133" t="s">
        <v>208</v>
      </c>
      <c r="L133" t="s">
        <v>23</v>
      </c>
      <c r="M133">
        <f t="shared" si="15"/>
        <v>1</v>
      </c>
      <c r="N133">
        <f t="shared" si="16"/>
        <v>0</v>
      </c>
      <c r="P133">
        <f t="shared" si="14"/>
        <v>53</v>
      </c>
      <c r="Q133">
        <f t="shared" si="17"/>
        <v>0</v>
      </c>
    </row>
    <row r="134" spans="1:17" x14ac:dyDescent="0.35">
      <c r="A134">
        <v>1024</v>
      </c>
      <c r="B134">
        <v>1</v>
      </c>
      <c r="C134">
        <v>3</v>
      </c>
      <c r="D134" t="s">
        <v>209</v>
      </c>
      <c r="E134" t="s">
        <v>14</v>
      </c>
      <c r="G134">
        <v>0</v>
      </c>
      <c r="H134">
        <v>4</v>
      </c>
      <c r="I134">
        <v>4133</v>
      </c>
      <c r="J134">
        <v>25.466699999999999</v>
      </c>
      <c r="L134" t="s">
        <v>15</v>
      </c>
      <c r="M134">
        <f t="shared" si="15"/>
        <v>0</v>
      </c>
      <c r="N134">
        <f t="shared" si="16"/>
        <v>1</v>
      </c>
      <c r="P134" t="str">
        <f t="shared" si="14"/>
        <v/>
      </c>
      <c r="Q134" t="str">
        <f t="shared" si="17"/>
        <v/>
      </c>
    </row>
    <row r="135" spans="1:17" x14ac:dyDescent="0.35">
      <c r="A135">
        <v>1025</v>
      </c>
      <c r="B135">
        <v>0</v>
      </c>
      <c r="C135">
        <v>3</v>
      </c>
      <c r="D135" t="s">
        <v>210</v>
      </c>
      <c r="E135" t="s">
        <v>11</v>
      </c>
      <c r="G135">
        <v>1</v>
      </c>
      <c r="H135">
        <v>0</v>
      </c>
      <c r="I135">
        <v>2621</v>
      </c>
      <c r="J135">
        <v>6.4375</v>
      </c>
      <c r="L135" t="s">
        <v>23</v>
      </c>
      <c r="M135">
        <f t="shared" si="15"/>
        <v>1</v>
      </c>
      <c r="N135">
        <f t="shared" si="16"/>
        <v>1</v>
      </c>
      <c r="Q135" t="str">
        <f t="shared" si="17"/>
        <v/>
      </c>
    </row>
    <row r="136" spans="1:17" x14ac:dyDescent="0.35">
      <c r="A136">
        <v>1026</v>
      </c>
      <c r="B136">
        <v>0</v>
      </c>
      <c r="C136">
        <v>3</v>
      </c>
      <c r="D136" t="s">
        <v>211</v>
      </c>
      <c r="E136" t="s">
        <v>11</v>
      </c>
      <c r="F136">
        <v>43</v>
      </c>
      <c r="G136">
        <v>0</v>
      </c>
      <c r="H136">
        <v>0</v>
      </c>
      <c r="I136">
        <v>349226</v>
      </c>
      <c r="J136">
        <v>7.8958000000000004</v>
      </c>
      <c r="L136" t="s">
        <v>15</v>
      </c>
      <c r="M136">
        <f t="shared" si="15"/>
        <v>1</v>
      </c>
      <c r="N136">
        <f t="shared" si="16"/>
        <v>1</v>
      </c>
      <c r="P136">
        <f t="shared" ref="P136:P147" si="18">IF(E136="male",F136,"")</f>
        <v>43</v>
      </c>
      <c r="Q136" t="str">
        <f t="shared" si="17"/>
        <v/>
      </c>
    </row>
    <row r="137" spans="1:17" x14ac:dyDescent="0.35">
      <c r="A137">
        <v>1027</v>
      </c>
      <c r="B137">
        <v>0</v>
      </c>
      <c r="C137">
        <v>3</v>
      </c>
      <c r="D137" t="s">
        <v>212</v>
      </c>
      <c r="E137" t="s">
        <v>11</v>
      </c>
      <c r="F137">
        <v>24</v>
      </c>
      <c r="G137">
        <v>0</v>
      </c>
      <c r="H137">
        <v>0</v>
      </c>
      <c r="I137">
        <v>350409</v>
      </c>
      <c r="J137">
        <v>7.8541999999999996</v>
      </c>
      <c r="L137" t="s">
        <v>15</v>
      </c>
      <c r="M137">
        <f t="shared" si="15"/>
        <v>1</v>
      </c>
      <c r="N137">
        <f t="shared" si="16"/>
        <v>1</v>
      </c>
      <c r="P137">
        <f t="shared" si="18"/>
        <v>24</v>
      </c>
      <c r="Q137" t="str">
        <f t="shared" si="17"/>
        <v/>
      </c>
    </row>
    <row r="138" spans="1:17" x14ac:dyDescent="0.35">
      <c r="A138">
        <v>1028</v>
      </c>
      <c r="B138">
        <v>0</v>
      </c>
      <c r="C138">
        <v>3</v>
      </c>
      <c r="D138" t="s">
        <v>213</v>
      </c>
      <c r="E138" t="s">
        <v>11</v>
      </c>
      <c r="F138">
        <v>26.5</v>
      </c>
      <c r="G138">
        <v>0</v>
      </c>
      <c r="H138">
        <v>0</v>
      </c>
      <c r="I138">
        <v>2656</v>
      </c>
      <c r="J138">
        <v>7.2249999999999996</v>
      </c>
      <c r="L138" t="s">
        <v>23</v>
      </c>
      <c r="M138">
        <f t="shared" si="15"/>
        <v>1</v>
      </c>
      <c r="N138">
        <f t="shared" si="16"/>
        <v>1</v>
      </c>
      <c r="P138">
        <f t="shared" si="18"/>
        <v>26.5</v>
      </c>
      <c r="Q138" t="str">
        <f t="shared" si="17"/>
        <v/>
      </c>
    </row>
    <row r="139" spans="1:17" x14ac:dyDescent="0.35">
      <c r="A139">
        <v>1029</v>
      </c>
      <c r="B139">
        <v>0</v>
      </c>
      <c r="C139">
        <v>2</v>
      </c>
      <c r="D139" t="s">
        <v>214</v>
      </c>
      <c r="E139" t="s">
        <v>11</v>
      </c>
      <c r="F139">
        <v>26</v>
      </c>
      <c r="G139">
        <v>0</v>
      </c>
      <c r="H139">
        <v>0</v>
      </c>
      <c r="I139">
        <v>248659</v>
      </c>
      <c r="J139">
        <v>13</v>
      </c>
      <c r="L139" t="s">
        <v>15</v>
      </c>
      <c r="M139">
        <f t="shared" si="15"/>
        <v>1</v>
      </c>
      <c r="N139">
        <f t="shared" si="16"/>
        <v>0</v>
      </c>
      <c r="P139">
        <f t="shared" si="18"/>
        <v>26</v>
      </c>
      <c r="Q139">
        <f t="shared" si="17"/>
        <v>23</v>
      </c>
    </row>
    <row r="140" spans="1:17" x14ac:dyDescent="0.35">
      <c r="A140">
        <v>1030</v>
      </c>
      <c r="B140">
        <v>1</v>
      </c>
      <c r="C140">
        <v>3</v>
      </c>
      <c r="D140" t="s">
        <v>215</v>
      </c>
      <c r="E140" t="s">
        <v>14</v>
      </c>
      <c r="F140">
        <v>23</v>
      </c>
      <c r="G140">
        <v>0</v>
      </c>
      <c r="H140">
        <v>0</v>
      </c>
      <c r="I140" t="s">
        <v>216</v>
      </c>
      <c r="J140">
        <v>8.0500000000000007</v>
      </c>
      <c r="L140" t="s">
        <v>15</v>
      </c>
      <c r="M140">
        <f t="shared" si="15"/>
        <v>0</v>
      </c>
      <c r="N140">
        <f t="shared" si="16"/>
        <v>1</v>
      </c>
      <c r="P140" t="str">
        <f t="shared" si="18"/>
        <v/>
      </c>
      <c r="Q140" t="str">
        <f t="shared" si="17"/>
        <v/>
      </c>
    </row>
    <row r="141" spans="1:17" x14ac:dyDescent="0.35">
      <c r="A141">
        <v>1031</v>
      </c>
      <c r="B141">
        <v>0</v>
      </c>
      <c r="C141">
        <v>3</v>
      </c>
      <c r="D141" t="s">
        <v>217</v>
      </c>
      <c r="E141" t="s">
        <v>11</v>
      </c>
      <c r="F141">
        <v>40</v>
      </c>
      <c r="G141">
        <v>1</v>
      </c>
      <c r="H141">
        <v>6</v>
      </c>
      <c r="I141" t="s">
        <v>218</v>
      </c>
      <c r="J141">
        <v>46.9</v>
      </c>
      <c r="L141" t="s">
        <v>15</v>
      </c>
      <c r="M141">
        <f t="shared" si="15"/>
        <v>1</v>
      </c>
      <c r="N141">
        <f t="shared" si="16"/>
        <v>0</v>
      </c>
      <c r="P141">
        <f t="shared" si="18"/>
        <v>40</v>
      </c>
      <c r="Q141">
        <f t="shared" si="17"/>
        <v>10</v>
      </c>
    </row>
    <row r="142" spans="1:17" x14ac:dyDescent="0.35">
      <c r="A142">
        <v>1032</v>
      </c>
      <c r="B142">
        <v>1</v>
      </c>
      <c r="C142">
        <v>3</v>
      </c>
      <c r="D142" t="s">
        <v>219</v>
      </c>
      <c r="E142" t="s">
        <v>14</v>
      </c>
      <c r="F142">
        <v>10</v>
      </c>
      <c r="G142">
        <v>5</v>
      </c>
      <c r="H142">
        <v>2</v>
      </c>
      <c r="I142" t="s">
        <v>218</v>
      </c>
      <c r="J142">
        <v>46.9</v>
      </c>
      <c r="L142" t="s">
        <v>15</v>
      </c>
      <c r="M142">
        <f t="shared" si="15"/>
        <v>0</v>
      </c>
      <c r="N142">
        <f t="shared" si="16"/>
        <v>0</v>
      </c>
      <c r="P142" t="str">
        <f t="shared" si="18"/>
        <v/>
      </c>
      <c r="Q142">
        <f t="shared" si="17"/>
        <v>33</v>
      </c>
    </row>
    <row r="143" spans="1:17" x14ac:dyDescent="0.35">
      <c r="A143">
        <v>1033</v>
      </c>
      <c r="B143">
        <v>1</v>
      </c>
      <c r="C143">
        <v>1</v>
      </c>
      <c r="D143" t="s">
        <v>220</v>
      </c>
      <c r="E143" t="s">
        <v>14</v>
      </c>
      <c r="F143">
        <v>33</v>
      </c>
      <c r="G143">
        <v>0</v>
      </c>
      <c r="H143">
        <v>0</v>
      </c>
      <c r="I143">
        <v>113781</v>
      </c>
      <c r="J143">
        <v>151.55000000000001</v>
      </c>
      <c r="L143" t="s">
        <v>15</v>
      </c>
      <c r="M143">
        <f t="shared" si="15"/>
        <v>0</v>
      </c>
      <c r="N143">
        <f t="shared" si="16"/>
        <v>1</v>
      </c>
      <c r="P143" t="str">
        <f t="shared" si="18"/>
        <v/>
      </c>
      <c r="Q143" t="str">
        <f t="shared" si="17"/>
        <v/>
      </c>
    </row>
    <row r="144" spans="1:17" x14ac:dyDescent="0.35">
      <c r="A144">
        <v>1034</v>
      </c>
      <c r="B144">
        <v>0</v>
      </c>
      <c r="C144">
        <v>1</v>
      </c>
      <c r="D144" t="s">
        <v>221</v>
      </c>
      <c r="E144" t="s">
        <v>11</v>
      </c>
      <c r="F144">
        <v>61</v>
      </c>
      <c r="G144">
        <v>1</v>
      </c>
      <c r="H144">
        <v>3</v>
      </c>
      <c r="I144" t="s">
        <v>50</v>
      </c>
      <c r="J144">
        <v>262.375</v>
      </c>
      <c r="K144" t="s">
        <v>51</v>
      </c>
      <c r="L144" t="s">
        <v>23</v>
      </c>
      <c r="M144">
        <f t="shared" si="15"/>
        <v>1</v>
      </c>
      <c r="N144">
        <f t="shared" si="16"/>
        <v>1</v>
      </c>
      <c r="P144">
        <f t="shared" si="18"/>
        <v>61</v>
      </c>
      <c r="Q144" t="str">
        <f t="shared" si="17"/>
        <v/>
      </c>
    </row>
    <row r="145" spans="1:17" x14ac:dyDescent="0.35">
      <c r="A145">
        <v>1035</v>
      </c>
      <c r="B145">
        <v>0</v>
      </c>
      <c r="C145">
        <v>2</v>
      </c>
      <c r="D145" t="s">
        <v>222</v>
      </c>
      <c r="E145" t="s">
        <v>11</v>
      </c>
      <c r="F145">
        <v>28</v>
      </c>
      <c r="G145">
        <v>0</v>
      </c>
      <c r="H145">
        <v>0</v>
      </c>
      <c r="I145">
        <v>244358</v>
      </c>
      <c r="J145">
        <v>26</v>
      </c>
      <c r="L145" t="s">
        <v>15</v>
      </c>
      <c r="M145">
        <f t="shared" si="15"/>
        <v>1</v>
      </c>
      <c r="N145">
        <f t="shared" si="16"/>
        <v>1</v>
      </c>
      <c r="P145">
        <f t="shared" si="18"/>
        <v>28</v>
      </c>
      <c r="Q145" t="str">
        <f t="shared" si="17"/>
        <v/>
      </c>
    </row>
    <row r="146" spans="1:17" x14ac:dyDescent="0.35">
      <c r="A146">
        <v>1036</v>
      </c>
      <c r="B146">
        <v>0</v>
      </c>
      <c r="C146">
        <v>1</v>
      </c>
      <c r="D146" t="s">
        <v>223</v>
      </c>
      <c r="E146" t="s">
        <v>11</v>
      </c>
      <c r="F146">
        <v>42</v>
      </c>
      <c r="G146">
        <v>0</v>
      </c>
      <c r="H146">
        <v>0</v>
      </c>
      <c r="I146">
        <v>17475</v>
      </c>
      <c r="J146">
        <v>26.55</v>
      </c>
      <c r="L146" t="s">
        <v>15</v>
      </c>
      <c r="M146">
        <f t="shared" si="15"/>
        <v>1</v>
      </c>
      <c r="N146">
        <f t="shared" si="16"/>
        <v>1</v>
      </c>
      <c r="P146">
        <f t="shared" si="18"/>
        <v>42</v>
      </c>
      <c r="Q146" t="str">
        <f t="shared" si="17"/>
        <v/>
      </c>
    </row>
    <row r="147" spans="1:17" x14ac:dyDescent="0.35">
      <c r="A147">
        <v>1037</v>
      </c>
      <c r="B147">
        <v>0</v>
      </c>
      <c r="C147">
        <v>3</v>
      </c>
      <c r="D147" t="s">
        <v>224</v>
      </c>
      <c r="E147" t="s">
        <v>11</v>
      </c>
      <c r="F147">
        <v>31</v>
      </c>
      <c r="G147">
        <v>3</v>
      </c>
      <c r="H147">
        <v>0</v>
      </c>
      <c r="I147">
        <v>345763</v>
      </c>
      <c r="J147">
        <v>18</v>
      </c>
      <c r="L147" t="s">
        <v>15</v>
      </c>
      <c r="M147">
        <f t="shared" si="15"/>
        <v>1</v>
      </c>
      <c r="N147">
        <f t="shared" si="16"/>
        <v>1</v>
      </c>
      <c r="P147">
        <f t="shared" si="18"/>
        <v>31</v>
      </c>
      <c r="Q147" t="str">
        <f t="shared" si="17"/>
        <v/>
      </c>
    </row>
    <row r="148" spans="1:17" x14ac:dyDescent="0.35">
      <c r="A148">
        <v>1038</v>
      </c>
      <c r="B148">
        <v>0</v>
      </c>
      <c r="C148">
        <v>1</v>
      </c>
      <c r="D148" t="s">
        <v>225</v>
      </c>
      <c r="E148" t="s">
        <v>11</v>
      </c>
      <c r="G148">
        <v>0</v>
      </c>
      <c r="H148">
        <v>0</v>
      </c>
      <c r="I148">
        <v>17463</v>
      </c>
      <c r="J148">
        <v>51.862499999999997</v>
      </c>
      <c r="K148" t="s">
        <v>226</v>
      </c>
      <c r="L148" t="s">
        <v>15</v>
      </c>
      <c r="M148">
        <f t="shared" si="15"/>
        <v>1</v>
      </c>
      <c r="N148">
        <f t="shared" si="16"/>
        <v>1</v>
      </c>
      <c r="Q148" t="str">
        <f t="shared" si="17"/>
        <v/>
      </c>
    </row>
    <row r="149" spans="1:17" x14ac:dyDescent="0.35">
      <c r="A149">
        <v>1039</v>
      </c>
      <c r="B149">
        <v>0</v>
      </c>
      <c r="C149">
        <v>3</v>
      </c>
      <c r="D149" t="s">
        <v>227</v>
      </c>
      <c r="E149" t="s">
        <v>11</v>
      </c>
      <c r="F149">
        <v>22</v>
      </c>
      <c r="G149">
        <v>0</v>
      </c>
      <c r="H149">
        <v>0</v>
      </c>
      <c r="I149" t="s">
        <v>228</v>
      </c>
      <c r="J149">
        <v>8.0500000000000007</v>
      </c>
      <c r="L149" t="s">
        <v>15</v>
      </c>
      <c r="M149">
        <f t="shared" si="15"/>
        <v>1</v>
      </c>
      <c r="N149">
        <f t="shared" si="16"/>
        <v>1</v>
      </c>
      <c r="P149">
        <f>IF(E149="male",F149,"")</f>
        <v>22</v>
      </c>
      <c r="Q149" t="str">
        <f t="shared" si="17"/>
        <v/>
      </c>
    </row>
    <row r="150" spans="1:17" x14ac:dyDescent="0.35">
      <c r="A150">
        <v>1040</v>
      </c>
      <c r="B150">
        <v>0</v>
      </c>
      <c r="C150">
        <v>1</v>
      </c>
      <c r="D150" t="s">
        <v>229</v>
      </c>
      <c r="E150" t="s">
        <v>11</v>
      </c>
      <c r="G150">
        <v>0</v>
      </c>
      <c r="H150">
        <v>0</v>
      </c>
      <c r="I150">
        <v>113791</v>
      </c>
      <c r="J150">
        <v>26.55</v>
      </c>
      <c r="L150" t="s">
        <v>15</v>
      </c>
      <c r="M150">
        <f t="shared" si="15"/>
        <v>1</v>
      </c>
      <c r="N150">
        <f t="shared" si="16"/>
        <v>1</v>
      </c>
      <c r="Q150" t="str">
        <f t="shared" si="17"/>
        <v/>
      </c>
    </row>
    <row r="151" spans="1:17" x14ac:dyDescent="0.35">
      <c r="A151">
        <v>1041</v>
      </c>
      <c r="B151">
        <v>0</v>
      </c>
      <c r="C151">
        <v>2</v>
      </c>
      <c r="D151" t="s">
        <v>230</v>
      </c>
      <c r="E151" t="s">
        <v>11</v>
      </c>
      <c r="F151">
        <v>30</v>
      </c>
      <c r="G151">
        <v>1</v>
      </c>
      <c r="H151">
        <v>1</v>
      </c>
      <c r="I151">
        <v>250651</v>
      </c>
      <c r="J151">
        <v>26</v>
      </c>
      <c r="L151" t="s">
        <v>15</v>
      </c>
      <c r="M151">
        <f t="shared" si="15"/>
        <v>1</v>
      </c>
      <c r="N151">
        <f t="shared" si="16"/>
        <v>0</v>
      </c>
      <c r="P151">
        <f>IF(E151="male",F151,"")</f>
        <v>30</v>
      </c>
      <c r="Q151">
        <f t="shared" si="17"/>
        <v>23</v>
      </c>
    </row>
    <row r="152" spans="1:17" x14ac:dyDescent="0.35">
      <c r="A152">
        <v>1042</v>
      </c>
      <c r="B152">
        <v>1</v>
      </c>
      <c r="C152">
        <v>1</v>
      </c>
      <c r="D152" t="s">
        <v>231</v>
      </c>
      <c r="E152" t="s">
        <v>14</v>
      </c>
      <c r="F152">
        <v>23</v>
      </c>
      <c r="G152">
        <v>0</v>
      </c>
      <c r="H152">
        <v>1</v>
      </c>
      <c r="I152">
        <v>11767</v>
      </c>
      <c r="J152">
        <v>83.158299999999997</v>
      </c>
      <c r="K152" t="s">
        <v>232</v>
      </c>
      <c r="L152" t="s">
        <v>23</v>
      </c>
      <c r="M152">
        <f t="shared" si="15"/>
        <v>0</v>
      </c>
      <c r="N152">
        <f t="shared" si="16"/>
        <v>1</v>
      </c>
      <c r="P152" t="str">
        <f>IF(E152="male",F152,"")</f>
        <v/>
      </c>
      <c r="Q152" t="str">
        <f t="shared" si="17"/>
        <v/>
      </c>
    </row>
    <row r="153" spans="1:17" x14ac:dyDescent="0.35">
      <c r="A153">
        <v>1043</v>
      </c>
      <c r="B153">
        <v>0</v>
      </c>
      <c r="C153">
        <v>3</v>
      </c>
      <c r="D153" t="s">
        <v>233</v>
      </c>
      <c r="E153" t="s">
        <v>11</v>
      </c>
      <c r="G153">
        <v>0</v>
      </c>
      <c r="H153">
        <v>0</v>
      </c>
      <c r="I153">
        <v>349255</v>
      </c>
      <c r="J153">
        <v>7.8958000000000004</v>
      </c>
      <c r="L153" t="s">
        <v>23</v>
      </c>
      <c r="M153">
        <f t="shared" si="15"/>
        <v>1</v>
      </c>
      <c r="N153">
        <f t="shared" si="16"/>
        <v>1</v>
      </c>
      <c r="Q153" t="str">
        <f t="shared" si="17"/>
        <v/>
      </c>
    </row>
    <row r="154" spans="1:17" x14ac:dyDescent="0.35">
      <c r="A154">
        <v>1044</v>
      </c>
      <c r="B154">
        <v>0</v>
      </c>
      <c r="C154">
        <v>3</v>
      </c>
      <c r="D154" t="s">
        <v>234</v>
      </c>
      <c r="E154" t="s">
        <v>11</v>
      </c>
      <c r="F154">
        <v>60.5</v>
      </c>
      <c r="G154">
        <v>0</v>
      </c>
      <c r="H154">
        <v>0</v>
      </c>
      <c r="I154">
        <v>3701</v>
      </c>
      <c r="L154" t="s">
        <v>15</v>
      </c>
      <c r="M154">
        <f t="shared" si="15"/>
        <v>1</v>
      </c>
      <c r="N154">
        <f t="shared" si="16"/>
        <v>0</v>
      </c>
      <c r="P154">
        <f t="shared" ref="P154:P164" si="19">IF(E154="male",F154,"")</f>
        <v>60.5</v>
      </c>
      <c r="Q154">
        <f t="shared" si="17"/>
        <v>36</v>
      </c>
    </row>
    <row r="155" spans="1:17" x14ac:dyDescent="0.35">
      <c r="A155">
        <v>1045</v>
      </c>
      <c r="B155">
        <v>1</v>
      </c>
      <c r="C155">
        <v>3</v>
      </c>
      <c r="D155" t="s">
        <v>235</v>
      </c>
      <c r="E155" t="s">
        <v>14</v>
      </c>
      <c r="F155">
        <v>36</v>
      </c>
      <c r="G155">
        <v>0</v>
      </c>
      <c r="H155">
        <v>2</v>
      </c>
      <c r="I155">
        <v>350405</v>
      </c>
      <c r="J155">
        <v>12.183299999999999</v>
      </c>
      <c r="L155" t="s">
        <v>15</v>
      </c>
      <c r="M155">
        <f t="shared" si="15"/>
        <v>0</v>
      </c>
      <c r="N155">
        <f t="shared" si="16"/>
        <v>1</v>
      </c>
      <c r="P155" t="str">
        <f t="shared" si="19"/>
        <v/>
      </c>
      <c r="Q155" t="str">
        <f t="shared" si="17"/>
        <v/>
      </c>
    </row>
    <row r="156" spans="1:17" x14ac:dyDescent="0.35">
      <c r="A156">
        <v>1046</v>
      </c>
      <c r="B156">
        <v>0</v>
      </c>
      <c r="C156">
        <v>3</v>
      </c>
      <c r="D156" t="s">
        <v>236</v>
      </c>
      <c r="E156" t="s">
        <v>11</v>
      </c>
      <c r="F156">
        <v>13</v>
      </c>
      <c r="G156">
        <v>4</v>
      </c>
      <c r="H156">
        <v>2</v>
      </c>
      <c r="I156">
        <v>347077</v>
      </c>
      <c r="J156">
        <v>31.387499999999999</v>
      </c>
      <c r="L156" t="s">
        <v>15</v>
      </c>
      <c r="M156">
        <f t="shared" si="15"/>
        <v>1</v>
      </c>
      <c r="N156">
        <f t="shared" si="16"/>
        <v>1</v>
      </c>
      <c r="P156">
        <f t="shared" si="19"/>
        <v>13</v>
      </c>
      <c r="Q156" t="str">
        <f t="shared" si="17"/>
        <v/>
      </c>
    </row>
    <row r="157" spans="1:17" x14ac:dyDescent="0.35">
      <c r="A157">
        <v>1047</v>
      </c>
      <c r="B157">
        <v>0</v>
      </c>
      <c r="C157">
        <v>3</v>
      </c>
      <c r="D157" t="s">
        <v>237</v>
      </c>
      <c r="E157" t="s">
        <v>11</v>
      </c>
      <c r="F157">
        <v>24</v>
      </c>
      <c r="G157">
        <v>0</v>
      </c>
      <c r="H157">
        <v>0</v>
      </c>
      <c r="I157" t="s">
        <v>238</v>
      </c>
      <c r="J157">
        <v>7.55</v>
      </c>
      <c r="L157" t="s">
        <v>15</v>
      </c>
      <c r="M157">
        <f t="shared" si="15"/>
        <v>1</v>
      </c>
      <c r="N157">
        <f t="shared" si="16"/>
        <v>0</v>
      </c>
      <c r="P157">
        <f t="shared" si="19"/>
        <v>24</v>
      </c>
      <c r="Q157">
        <f t="shared" si="17"/>
        <v>29</v>
      </c>
    </row>
    <row r="158" spans="1:17" x14ac:dyDescent="0.35">
      <c r="A158">
        <v>1048</v>
      </c>
      <c r="B158">
        <v>1</v>
      </c>
      <c r="C158">
        <v>1</v>
      </c>
      <c r="D158" t="s">
        <v>239</v>
      </c>
      <c r="E158" t="s">
        <v>14</v>
      </c>
      <c r="F158">
        <v>29</v>
      </c>
      <c r="G158">
        <v>0</v>
      </c>
      <c r="H158">
        <v>0</v>
      </c>
      <c r="I158" t="s">
        <v>138</v>
      </c>
      <c r="J158">
        <v>221.7792</v>
      </c>
      <c r="K158" t="s">
        <v>240</v>
      </c>
      <c r="L158" t="s">
        <v>15</v>
      </c>
      <c r="M158">
        <f t="shared" si="15"/>
        <v>0</v>
      </c>
      <c r="N158">
        <f t="shared" si="16"/>
        <v>0</v>
      </c>
      <c r="P158" t="str">
        <f t="shared" si="19"/>
        <v/>
      </c>
      <c r="Q158">
        <f t="shared" si="17"/>
        <v>23</v>
      </c>
    </row>
    <row r="159" spans="1:17" x14ac:dyDescent="0.35">
      <c r="A159">
        <v>1049</v>
      </c>
      <c r="B159">
        <v>1</v>
      </c>
      <c r="C159">
        <v>3</v>
      </c>
      <c r="D159" t="s">
        <v>241</v>
      </c>
      <c r="E159" t="s">
        <v>14</v>
      </c>
      <c r="F159">
        <v>23</v>
      </c>
      <c r="G159">
        <v>0</v>
      </c>
      <c r="H159">
        <v>0</v>
      </c>
      <c r="I159">
        <v>347469</v>
      </c>
      <c r="J159">
        <v>7.8541999999999996</v>
      </c>
      <c r="L159" t="s">
        <v>15</v>
      </c>
      <c r="M159">
        <f t="shared" si="15"/>
        <v>0</v>
      </c>
      <c r="N159">
        <f t="shared" si="16"/>
        <v>1</v>
      </c>
      <c r="P159" t="str">
        <f t="shared" si="19"/>
        <v/>
      </c>
      <c r="Q159" t="str">
        <f t="shared" si="17"/>
        <v/>
      </c>
    </row>
    <row r="160" spans="1:17" x14ac:dyDescent="0.35">
      <c r="A160">
        <v>1050</v>
      </c>
      <c r="B160">
        <v>0</v>
      </c>
      <c r="C160">
        <v>1</v>
      </c>
      <c r="D160" t="s">
        <v>242</v>
      </c>
      <c r="E160" t="s">
        <v>11</v>
      </c>
      <c r="F160">
        <v>42</v>
      </c>
      <c r="G160">
        <v>0</v>
      </c>
      <c r="H160">
        <v>0</v>
      </c>
      <c r="I160">
        <v>110489</v>
      </c>
      <c r="J160">
        <v>26.55</v>
      </c>
      <c r="K160" t="s">
        <v>243</v>
      </c>
      <c r="L160" t="s">
        <v>15</v>
      </c>
      <c r="M160">
        <f t="shared" si="15"/>
        <v>1</v>
      </c>
      <c r="N160">
        <f t="shared" si="16"/>
        <v>0</v>
      </c>
      <c r="P160">
        <f t="shared" si="19"/>
        <v>42</v>
      </c>
      <c r="Q160">
        <f t="shared" si="17"/>
        <v>26</v>
      </c>
    </row>
    <row r="161" spans="1:17" x14ac:dyDescent="0.35">
      <c r="A161">
        <v>1051</v>
      </c>
      <c r="B161">
        <v>1</v>
      </c>
      <c r="C161">
        <v>3</v>
      </c>
      <c r="D161" t="s">
        <v>244</v>
      </c>
      <c r="E161" t="s">
        <v>14</v>
      </c>
      <c r="F161">
        <v>26</v>
      </c>
      <c r="G161">
        <v>0</v>
      </c>
      <c r="H161">
        <v>2</v>
      </c>
      <c r="I161" t="s">
        <v>245</v>
      </c>
      <c r="J161">
        <v>13.775</v>
      </c>
      <c r="L161" t="s">
        <v>15</v>
      </c>
      <c r="M161">
        <f t="shared" si="15"/>
        <v>0</v>
      </c>
      <c r="N161">
        <f t="shared" si="16"/>
        <v>0</v>
      </c>
      <c r="P161" t="str">
        <f t="shared" si="19"/>
        <v/>
      </c>
      <c r="Q161">
        <f t="shared" si="17"/>
        <v>0</v>
      </c>
    </row>
    <row r="162" spans="1:17" x14ac:dyDescent="0.35">
      <c r="A162">
        <v>1052</v>
      </c>
      <c r="B162">
        <v>1</v>
      </c>
      <c r="C162">
        <v>3</v>
      </c>
      <c r="D162" t="s">
        <v>246</v>
      </c>
      <c r="E162" t="s">
        <v>14</v>
      </c>
      <c r="G162">
        <v>0</v>
      </c>
      <c r="H162">
        <v>0</v>
      </c>
      <c r="I162">
        <v>335432</v>
      </c>
      <c r="J162">
        <v>7.7332999999999998</v>
      </c>
      <c r="L162" t="s">
        <v>12</v>
      </c>
      <c r="M162">
        <f t="shared" si="15"/>
        <v>0</v>
      </c>
      <c r="N162">
        <f t="shared" si="16"/>
        <v>1</v>
      </c>
      <c r="P162" t="str">
        <f t="shared" si="19"/>
        <v/>
      </c>
      <c r="Q162" t="str">
        <f t="shared" si="17"/>
        <v/>
      </c>
    </row>
    <row r="163" spans="1:17" x14ac:dyDescent="0.35">
      <c r="A163">
        <v>1053</v>
      </c>
      <c r="B163">
        <v>0</v>
      </c>
      <c r="C163">
        <v>3</v>
      </c>
      <c r="D163" t="s">
        <v>247</v>
      </c>
      <c r="E163" t="s">
        <v>11</v>
      </c>
      <c r="F163">
        <v>7</v>
      </c>
      <c r="G163">
        <v>1</v>
      </c>
      <c r="H163">
        <v>1</v>
      </c>
      <c r="I163">
        <v>2650</v>
      </c>
      <c r="J163">
        <v>15.245799999999999</v>
      </c>
      <c r="L163" t="s">
        <v>23</v>
      </c>
      <c r="M163">
        <f t="shared" si="15"/>
        <v>1</v>
      </c>
      <c r="N163">
        <f t="shared" si="16"/>
        <v>0</v>
      </c>
      <c r="P163">
        <f t="shared" si="19"/>
        <v>7</v>
      </c>
      <c r="Q163">
        <f t="shared" si="17"/>
        <v>26</v>
      </c>
    </row>
    <row r="164" spans="1:17" x14ac:dyDescent="0.35">
      <c r="A164">
        <v>1054</v>
      </c>
      <c r="B164">
        <v>1</v>
      </c>
      <c r="C164">
        <v>2</v>
      </c>
      <c r="D164" t="s">
        <v>248</v>
      </c>
      <c r="E164" t="s">
        <v>14</v>
      </c>
      <c r="F164">
        <v>26</v>
      </c>
      <c r="G164">
        <v>0</v>
      </c>
      <c r="H164">
        <v>0</v>
      </c>
      <c r="I164">
        <v>220844</v>
      </c>
      <c r="J164">
        <v>13.5</v>
      </c>
      <c r="L164" t="s">
        <v>15</v>
      </c>
      <c r="M164">
        <f t="shared" si="15"/>
        <v>0</v>
      </c>
      <c r="N164">
        <f t="shared" si="16"/>
        <v>1</v>
      </c>
      <c r="P164" t="str">
        <f t="shared" si="19"/>
        <v/>
      </c>
      <c r="Q164" t="str">
        <f t="shared" si="17"/>
        <v/>
      </c>
    </row>
    <row r="165" spans="1:17" x14ac:dyDescent="0.35">
      <c r="A165">
        <v>1055</v>
      </c>
      <c r="B165">
        <v>0</v>
      </c>
      <c r="C165">
        <v>3</v>
      </c>
      <c r="D165" t="s">
        <v>249</v>
      </c>
      <c r="E165" t="s">
        <v>11</v>
      </c>
      <c r="G165">
        <v>0</v>
      </c>
      <c r="H165">
        <v>0</v>
      </c>
      <c r="I165">
        <v>343271</v>
      </c>
      <c r="J165">
        <v>7</v>
      </c>
      <c r="L165" t="s">
        <v>15</v>
      </c>
      <c r="M165">
        <f t="shared" si="15"/>
        <v>1</v>
      </c>
      <c r="N165">
        <f t="shared" si="16"/>
        <v>1</v>
      </c>
      <c r="Q165" t="str">
        <f t="shared" si="17"/>
        <v/>
      </c>
    </row>
    <row r="166" spans="1:17" x14ac:dyDescent="0.35">
      <c r="A166">
        <v>1056</v>
      </c>
      <c r="B166">
        <v>0</v>
      </c>
      <c r="C166">
        <v>2</v>
      </c>
      <c r="D166" t="s">
        <v>250</v>
      </c>
      <c r="E166" t="s">
        <v>11</v>
      </c>
      <c r="F166">
        <v>41</v>
      </c>
      <c r="G166">
        <v>0</v>
      </c>
      <c r="H166">
        <v>0</v>
      </c>
      <c r="I166">
        <v>237393</v>
      </c>
      <c r="J166">
        <v>13</v>
      </c>
      <c r="L166" t="s">
        <v>15</v>
      </c>
      <c r="M166">
        <f t="shared" si="15"/>
        <v>1</v>
      </c>
      <c r="N166">
        <f t="shared" si="16"/>
        <v>0</v>
      </c>
      <c r="P166">
        <f t="shared" ref="P166:P171" si="20">IF(E166="male",F166,"")</f>
        <v>41</v>
      </c>
      <c r="Q166">
        <f t="shared" si="17"/>
        <v>26</v>
      </c>
    </row>
    <row r="167" spans="1:17" x14ac:dyDescent="0.35">
      <c r="A167">
        <v>1057</v>
      </c>
      <c r="B167">
        <v>1</v>
      </c>
      <c r="C167">
        <v>3</v>
      </c>
      <c r="D167" t="s">
        <v>251</v>
      </c>
      <c r="E167" t="s">
        <v>14</v>
      </c>
      <c r="F167">
        <v>26</v>
      </c>
      <c r="G167">
        <v>1</v>
      </c>
      <c r="H167">
        <v>1</v>
      </c>
      <c r="I167">
        <v>315153</v>
      </c>
      <c r="J167">
        <v>22.024999999999999</v>
      </c>
      <c r="L167" t="s">
        <v>15</v>
      </c>
      <c r="M167">
        <f t="shared" si="15"/>
        <v>0</v>
      </c>
      <c r="N167">
        <f t="shared" si="16"/>
        <v>1</v>
      </c>
      <c r="P167" t="str">
        <f t="shared" si="20"/>
        <v/>
      </c>
      <c r="Q167" t="str">
        <f t="shared" si="17"/>
        <v/>
      </c>
    </row>
    <row r="168" spans="1:17" x14ac:dyDescent="0.35">
      <c r="A168">
        <v>1058</v>
      </c>
      <c r="B168">
        <v>0</v>
      </c>
      <c r="C168">
        <v>1</v>
      </c>
      <c r="D168" t="s">
        <v>252</v>
      </c>
      <c r="E168" t="s">
        <v>11</v>
      </c>
      <c r="F168">
        <v>48</v>
      </c>
      <c r="G168">
        <v>0</v>
      </c>
      <c r="H168">
        <v>0</v>
      </c>
      <c r="I168" t="s">
        <v>253</v>
      </c>
      <c r="J168">
        <v>50.495800000000003</v>
      </c>
      <c r="K168" t="s">
        <v>254</v>
      </c>
      <c r="L168" t="s">
        <v>23</v>
      </c>
      <c r="M168">
        <f t="shared" si="15"/>
        <v>1</v>
      </c>
      <c r="N168">
        <f t="shared" si="16"/>
        <v>1</v>
      </c>
      <c r="P168">
        <f t="shared" si="20"/>
        <v>48</v>
      </c>
      <c r="Q168" t="str">
        <f t="shared" si="17"/>
        <v/>
      </c>
    </row>
    <row r="169" spans="1:17" x14ac:dyDescent="0.35">
      <c r="A169">
        <v>1059</v>
      </c>
      <c r="B169">
        <v>0</v>
      </c>
      <c r="C169">
        <v>3</v>
      </c>
      <c r="D169" t="s">
        <v>255</v>
      </c>
      <c r="E169" t="s">
        <v>11</v>
      </c>
      <c r="F169">
        <v>18</v>
      </c>
      <c r="G169">
        <v>2</v>
      </c>
      <c r="H169">
        <v>2</v>
      </c>
      <c r="I169" t="s">
        <v>256</v>
      </c>
      <c r="J169">
        <v>34.375</v>
      </c>
      <c r="L169" t="s">
        <v>15</v>
      </c>
      <c r="M169">
        <f t="shared" si="15"/>
        <v>1</v>
      </c>
      <c r="N169">
        <f t="shared" si="16"/>
        <v>0</v>
      </c>
      <c r="P169">
        <f t="shared" si="20"/>
        <v>18</v>
      </c>
      <c r="Q169">
        <f t="shared" si="17"/>
        <v>0</v>
      </c>
    </row>
    <row r="170" spans="1:17" x14ac:dyDescent="0.35">
      <c r="A170">
        <v>1060</v>
      </c>
      <c r="B170">
        <v>1</v>
      </c>
      <c r="C170">
        <v>1</v>
      </c>
      <c r="D170" t="s">
        <v>257</v>
      </c>
      <c r="E170" t="s">
        <v>14</v>
      </c>
      <c r="G170">
        <v>0</v>
      </c>
      <c r="H170">
        <v>0</v>
      </c>
      <c r="I170">
        <v>17770</v>
      </c>
      <c r="J170">
        <v>27.720800000000001</v>
      </c>
      <c r="L170" t="s">
        <v>23</v>
      </c>
      <c r="M170">
        <f t="shared" si="15"/>
        <v>0</v>
      </c>
      <c r="N170">
        <f t="shared" si="16"/>
        <v>0</v>
      </c>
      <c r="P170" t="str">
        <f t="shared" si="20"/>
        <v/>
      </c>
      <c r="Q170">
        <f t="shared" si="17"/>
        <v>22</v>
      </c>
    </row>
    <row r="171" spans="1:17" x14ac:dyDescent="0.35">
      <c r="A171">
        <v>1061</v>
      </c>
      <c r="B171">
        <v>1</v>
      </c>
      <c r="C171">
        <v>3</v>
      </c>
      <c r="D171" t="s">
        <v>258</v>
      </c>
      <c r="E171" t="s">
        <v>14</v>
      </c>
      <c r="F171">
        <v>22</v>
      </c>
      <c r="G171">
        <v>0</v>
      </c>
      <c r="H171">
        <v>0</v>
      </c>
      <c r="I171">
        <v>7548</v>
      </c>
      <c r="J171">
        <v>8.9625000000000004</v>
      </c>
      <c r="L171" t="s">
        <v>15</v>
      </c>
      <c r="M171">
        <f t="shared" si="15"/>
        <v>0</v>
      </c>
      <c r="N171">
        <f t="shared" si="16"/>
        <v>1</v>
      </c>
      <c r="P171" t="str">
        <f t="shared" si="20"/>
        <v/>
      </c>
      <c r="Q171" t="str">
        <f t="shared" si="17"/>
        <v/>
      </c>
    </row>
    <row r="172" spans="1:17" x14ac:dyDescent="0.35">
      <c r="A172">
        <v>1062</v>
      </c>
      <c r="B172">
        <v>0</v>
      </c>
      <c r="C172">
        <v>3</v>
      </c>
      <c r="D172" t="s">
        <v>259</v>
      </c>
      <c r="E172" t="s">
        <v>11</v>
      </c>
      <c r="G172">
        <v>0</v>
      </c>
      <c r="H172">
        <v>0</v>
      </c>
      <c r="I172" t="s">
        <v>260</v>
      </c>
      <c r="J172">
        <v>7.55</v>
      </c>
      <c r="L172" t="s">
        <v>15</v>
      </c>
      <c r="M172">
        <f t="shared" si="15"/>
        <v>1</v>
      </c>
      <c r="N172">
        <f t="shared" si="16"/>
        <v>1</v>
      </c>
      <c r="Q172" t="str">
        <f t="shared" si="17"/>
        <v/>
      </c>
    </row>
    <row r="173" spans="1:17" x14ac:dyDescent="0.35">
      <c r="A173">
        <v>1063</v>
      </c>
      <c r="B173">
        <v>0</v>
      </c>
      <c r="C173">
        <v>3</v>
      </c>
      <c r="D173" t="s">
        <v>261</v>
      </c>
      <c r="E173" t="s">
        <v>11</v>
      </c>
      <c r="F173">
        <v>27</v>
      </c>
      <c r="G173">
        <v>0</v>
      </c>
      <c r="H173">
        <v>0</v>
      </c>
      <c r="I173">
        <v>2670</v>
      </c>
      <c r="J173">
        <v>7.2249999999999996</v>
      </c>
      <c r="L173" t="s">
        <v>23</v>
      </c>
      <c r="M173">
        <f t="shared" si="15"/>
        <v>1</v>
      </c>
      <c r="N173">
        <f t="shared" si="16"/>
        <v>1</v>
      </c>
      <c r="P173">
        <f>IF(E173="male",F173,"")</f>
        <v>27</v>
      </c>
      <c r="Q173" t="str">
        <f t="shared" si="17"/>
        <v/>
      </c>
    </row>
    <row r="174" spans="1:17" x14ac:dyDescent="0.35">
      <c r="A174">
        <v>1064</v>
      </c>
      <c r="B174">
        <v>0</v>
      </c>
      <c r="C174">
        <v>3</v>
      </c>
      <c r="D174" t="s">
        <v>262</v>
      </c>
      <c r="E174" t="s">
        <v>11</v>
      </c>
      <c r="F174">
        <v>23</v>
      </c>
      <c r="G174">
        <v>1</v>
      </c>
      <c r="H174">
        <v>0</v>
      </c>
      <c r="I174">
        <v>347072</v>
      </c>
      <c r="J174">
        <v>13.9</v>
      </c>
      <c r="L174" t="s">
        <v>15</v>
      </c>
      <c r="M174">
        <f t="shared" si="15"/>
        <v>1</v>
      </c>
      <c r="N174">
        <f t="shared" si="16"/>
        <v>1</v>
      </c>
      <c r="P174">
        <f>IF(E174="male",F174,"")</f>
        <v>23</v>
      </c>
      <c r="Q174" t="str">
        <f t="shared" si="17"/>
        <v/>
      </c>
    </row>
    <row r="175" spans="1:17" x14ac:dyDescent="0.35">
      <c r="A175">
        <v>1065</v>
      </c>
      <c r="B175">
        <v>0</v>
      </c>
      <c r="C175">
        <v>3</v>
      </c>
      <c r="D175" t="s">
        <v>263</v>
      </c>
      <c r="E175" t="s">
        <v>11</v>
      </c>
      <c r="G175">
        <v>0</v>
      </c>
      <c r="H175">
        <v>0</v>
      </c>
      <c r="I175">
        <v>2673</v>
      </c>
      <c r="J175">
        <v>7.2291999999999996</v>
      </c>
      <c r="L175" t="s">
        <v>23</v>
      </c>
      <c r="M175">
        <f t="shared" si="15"/>
        <v>1</v>
      </c>
      <c r="N175">
        <f t="shared" si="16"/>
        <v>1</v>
      </c>
      <c r="Q175" t="str">
        <f t="shared" si="17"/>
        <v/>
      </c>
    </row>
    <row r="176" spans="1:17" x14ac:dyDescent="0.35">
      <c r="A176">
        <v>1066</v>
      </c>
      <c r="B176">
        <v>0</v>
      </c>
      <c r="C176">
        <v>3</v>
      </c>
      <c r="D176" t="s">
        <v>264</v>
      </c>
      <c r="E176" t="s">
        <v>11</v>
      </c>
      <c r="F176">
        <v>40</v>
      </c>
      <c r="G176">
        <v>1</v>
      </c>
      <c r="H176">
        <v>5</v>
      </c>
      <c r="I176">
        <v>347077</v>
      </c>
      <c r="J176">
        <v>31.387499999999999</v>
      </c>
      <c r="L176" t="s">
        <v>15</v>
      </c>
      <c r="M176">
        <f t="shared" si="15"/>
        <v>1</v>
      </c>
      <c r="N176">
        <f t="shared" si="16"/>
        <v>0</v>
      </c>
      <c r="P176">
        <f t="shared" ref="P176:P184" si="21">IF(E176="male",F176,"")</f>
        <v>40</v>
      </c>
      <c r="Q176">
        <f t="shared" si="17"/>
        <v>15</v>
      </c>
    </row>
    <row r="177" spans="1:17" x14ac:dyDescent="0.35">
      <c r="A177">
        <v>1067</v>
      </c>
      <c r="B177">
        <v>1</v>
      </c>
      <c r="C177">
        <v>2</v>
      </c>
      <c r="D177" t="s">
        <v>265</v>
      </c>
      <c r="E177" t="s">
        <v>14</v>
      </c>
      <c r="F177">
        <v>15</v>
      </c>
      <c r="G177">
        <v>0</v>
      </c>
      <c r="H177">
        <v>2</v>
      </c>
      <c r="I177">
        <v>29750</v>
      </c>
      <c r="J177">
        <v>39</v>
      </c>
      <c r="L177" t="s">
        <v>15</v>
      </c>
      <c r="M177">
        <f t="shared" si="15"/>
        <v>0</v>
      </c>
      <c r="N177">
        <f t="shared" si="16"/>
        <v>0</v>
      </c>
      <c r="P177" t="str">
        <f t="shared" si="21"/>
        <v/>
      </c>
      <c r="Q177">
        <f t="shared" si="17"/>
        <v>20</v>
      </c>
    </row>
    <row r="178" spans="1:17" x14ac:dyDescent="0.35">
      <c r="A178">
        <v>1068</v>
      </c>
      <c r="B178">
        <v>1</v>
      </c>
      <c r="C178">
        <v>2</v>
      </c>
      <c r="D178" t="s">
        <v>266</v>
      </c>
      <c r="E178" t="s">
        <v>14</v>
      </c>
      <c r="F178">
        <v>20</v>
      </c>
      <c r="G178">
        <v>0</v>
      </c>
      <c r="H178">
        <v>0</v>
      </c>
      <c r="I178" t="s">
        <v>267</v>
      </c>
      <c r="J178">
        <v>36.75</v>
      </c>
      <c r="L178" t="s">
        <v>15</v>
      </c>
      <c r="M178">
        <f t="shared" si="15"/>
        <v>0</v>
      </c>
      <c r="N178">
        <f t="shared" si="16"/>
        <v>1</v>
      </c>
      <c r="P178" t="str">
        <f t="shared" si="21"/>
        <v/>
      </c>
      <c r="Q178" t="str">
        <f t="shared" si="17"/>
        <v/>
      </c>
    </row>
    <row r="179" spans="1:17" x14ac:dyDescent="0.35">
      <c r="A179">
        <v>1069</v>
      </c>
      <c r="B179">
        <v>0</v>
      </c>
      <c r="C179">
        <v>1</v>
      </c>
      <c r="D179" t="s">
        <v>268</v>
      </c>
      <c r="E179" t="s">
        <v>11</v>
      </c>
      <c r="F179">
        <v>54</v>
      </c>
      <c r="G179">
        <v>1</v>
      </c>
      <c r="H179">
        <v>0</v>
      </c>
      <c r="I179">
        <v>11778</v>
      </c>
      <c r="J179">
        <v>55.441699999999997</v>
      </c>
      <c r="K179" t="s">
        <v>165</v>
      </c>
      <c r="L179" t="s">
        <v>23</v>
      </c>
      <c r="M179">
        <f t="shared" si="15"/>
        <v>1</v>
      </c>
      <c r="N179">
        <f t="shared" si="16"/>
        <v>0</v>
      </c>
      <c r="P179">
        <f t="shared" si="21"/>
        <v>54</v>
      </c>
      <c r="Q179">
        <f t="shared" si="17"/>
        <v>36</v>
      </c>
    </row>
    <row r="180" spans="1:17" x14ac:dyDescent="0.35">
      <c r="A180">
        <v>1070</v>
      </c>
      <c r="B180">
        <v>1</v>
      </c>
      <c r="C180">
        <v>2</v>
      </c>
      <c r="D180" t="s">
        <v>269</v>
      </c>
      <c r="E180" t="s">
        <v>14</v>
      </c>
      <c r="F180">
        <v>36</v>
      </c>
      <c r="G180">
        <v>0</v>
      </c>
      <c r="H180">
        <v>3</v>
      </c>
      <c r="I180">
        <v>230136</v>
      </c>
      <c r="J180">
        <v>39</v>
      </c>
      <c r="K180" t="s">
        <v>270</v>
      </c>
      <c r="L180" t="s">
        <v>15</v>
      </c>
      <c r="M180">
        <f t="shared" si="15"/>
        <v>0</v>
      </c>
      <c r="N180">
        <f t="shared" si="16"/>
        <v>0</v>
      </c>
      <c r="P180" t="str">
        <f t="shared" si="21"/>
        <v/>
      </c>
      <c r="Q180">
        <f t="shared" si="17"/>
        <v>64</v>
      </c>
    </row>
    <row r="181" spans="1:17" x14ac:dyDescent="0.35">
      <c r="A181">
        <v>1071</v>
      </c>
      <c r="B181">
        <v>1</v>
      </c>
      <c r="C181">
        <v>1</v>
      </c>
      <c r="D181" t="s">
        <v>271</v>
      </c>
      <c r="E181" t="s">
        <v>14</v>
      </c>
      <c r="F181">
        <v>64</v>
      </c>
      <c r="G181">
        <v>0</v>
      </c>
      <c r="H181">
        <v>2</v>
      </c>
      <c r="I181" t="s">
        <v>272</v>
      </c>
      <c r="J181">
        <v>83.158299999999997</v>
      </c>
      <c r="K181" t="s">
        <v>273</v>
      </c>
      <c r="L181" t="s">
        <v>23</v>
      </c>
      <c r="M181">
        <f t="shared" si="15"/>
        <v>0</v>
      </c>
      <c r="N181">
        <f t="shared" si="16"/>
        <v>1</v>
      </c>
      <c r="P181" t="str">
        <f t="shared" si="21"/>
        <v/>
      </c>
      <c r="Q181" t="str">
        <f t="shared" si="17"/>
        <v/>
      </c>
    </row>
    <row r="182" spans="1:17" x14ac:dyDescent="0.35">
      <c r="A182">
        <v>1072</v>
      </c>
      <c r="B182">
        <v>0</v>
      </c>
      <c r="C182">
        <v>2</v>
      </c>
      <c r="D182" t="s">
        <v>274</v>
      </c>
      <c r="E182" t="s">
        <v>11</v>
      </c>
      <c r="F182">
        <v>30</v>
      </c>
      <c r="G182">
        <v>0</v>
      </c>
      <c r="H182">
        <v>0</v>
      </c>
      <c r="I182">
        <v>233478</v>
      </c>
      <c r="J182">
        <v>13</v>
      </c>
      <c r="L182" t="s">
        <v>15</v>
      </c>
      <c r="M182">
        <f t="shared" si="15"/>
        <v>1</v>
      </c>
      <c r="N182">
        <f t="shared" si="16"/>
        <v>1</v>
      </c>
      <c r="P182">
        <f t="shared" si="21"/>
        <v>30</v>
      </c>
      <c r="Q182" t="str">
        <f t="shared" si="17"/>
        <v/>
      </c>
    </row>
    <row r="183" spans="1:17" x14ac:dyDescent="0.35">
      <c r="A183">
        <v>1073</v>
      </c>
      <c r="B183">
        <v>0</v>
      </c>
      <c r="C183">
        <v>1</v>
      </c>
      <c r="D183" t="s">
        <v>275</v>
      </c>
      <c r="E183" t="s">
        <v>11</v>
      </c>
      <c r="F183">
        <v>37</v>
      </c>
      <c r="G183">
        <v>1</v>
      </c>
      <c r="H183">
        <v>1</v>
      </c>
      <c r="I183" t="s">
        <v>272</v>
      </c>
      <c r="J183">
        <v>83.158299999999997</v>
      </c>
      <c r="K183" t="s">
        <v>276</v>
      </c>
      <c r="L183" t="s">
        <v>23</v>
      </c>
      <c r="M183">
        <f t="shared" si="15"/>
        <v>1</v>
      </c>
      <c r="N183">
        <f t="shared" si="16"/>
        <v>0</v>
      </c>
      <c r="P183">
        <f t="shared" si="21"/>
        <v>37</v>
      </c>
      <c r="Q183">
        <f t="shared" si="17"/>
        <v>18</v>
      </c>
    </row>
    <row r="184" spans="1:17" x14ac:dyDescent="0.35">
      <c r="A184">
        <v>1074</v>
      </c>
      <c r="B184">
        <v>1</v>
      </c>
      <c r="C184">
        <v>1</v>
      </c>
      <c r="D184" t="s">
        <v>277</v>
      </c>
      <c r="E184" t="s">
        <v>14</v>
      </c>
      <c r="F184">
        <v>18</v>
      </c>
      <c r="G184">
        <v>1</v>
      </c>
      <c r="H184">
        <v>0</v>
      </c>
      <c r="I184">
        <v>113773</v>
      </c>
      <c r="J184">
        <v>53.1</v>
      </c>
      <c r="K184" t="s">
        <v>278</v>
      </c>
      <c r="L184" t="s">
        <v>15</v>
      </c>
      <c r="M184">
        <f t="shared" si="15"/>
        <v>0</v>
      </c>
      <c r="N184">
        <f t="shared" si="16"/>
        <v>1</v>
      </c>
      <c r="P184" t="str">
        <f t="shared" si="21"/>
        <v/>
      </c>
      <c r="Q184" t="str">
        <f t="shared" si="17"/>
        <v/>
      </c>
    </row>
    <row r="185" spans="1:17" x14ac:dyDescent="0.35">
      <c r="A185">
        <v>1075</v>
      </c>
      <c r="B185">
        <v>0</v>
      </c>
      <c r="C185">
        <v>3</v>
      </c>
      <c r="D185" t="s">
        <v>279</v>
      </c>
      <c r="E185" t="s">
        <v>11</v>
      </c>
      <c r="G185">
        <v>0</v>
      </c>
      <c r="H185">
        <v>0</v>
      </c>
      <c r="I185">
        <v>7935</v>
      </c>
      <c r="J185">
        <v>7.75</v>
      </c>
      <c r="L185" t="s">
        <v>12</v>
      </c>
      <c r="M185">
        <f t="shared" si="15"/>
        <v>1</v>
      </c>
      <c r="N185">
        <f t="shared" si="16"/>
        <v>0</v>
      </c>
      <c r="Q185">
        <f t="shared" si="17"/>
        <v>27</v>
      </c>
    </row>
    <row r="186" spans="1:17" x14ac:dyDescent="0.35">
      <c r="A186">
        <v>1076</v>
      </c>
      <c r="B186">
        <v>1</v>
      </c>
      <c r="C186">
        <v>1</v>
      </c>
      <c r="D186" t="s">
        <v>280</v>
      </c>
      <c r="E186" t="s">
        <v>14</v>
      </c>
      <c r="F186">
        <v>27</v>
      </c>
      <c r="G186">
        <v>1</v>
      </c>
      <c r="H186">
        <v>1</v>
      </c>
      <c r="I186" t="s">
        <v>281</v>
      </c>
      <c r="J186">
        <v>247.52080000000001</v>
      </c>
      <c r="K186" t="s">
        <v>282</v>
      </c>
      <c r="L186" t="s">
        <v>23</v>
      </c>
      <c r="M186">
        <f t="shared" si="15"/>
        <v>0</v>
      </c>
      <c r="N186">
        <f t="shared" si="16"/>
        <v>1</v>
      </c>
      <c r="P186" t="str">
        <f t="shared" ref="P186:P192" si="22">IF(E186="male",F186,"")</f>
        <v/>
      </c>
      <c r="Q186" t="str">
        <f t="shared" si="17"/>
        <v/>
      </c>
    </row>
    <row r="187" spans="1:17" x14ac:dyDescent="0.35">
      <c r="A187">
        <v>1077</v>
      </c>
      <c r="B187">
        <v>0</v>
      </c>
      <c r="C187">
        <v>2</v>
      </c>
      <c r="D187" t="s">
        <v>283</v>
      </c>
      <c r="E187" t="s">
        <v>11</v>
      </c>
      <c r="F187">
        <v>40</v>
      </c>
      <c r="G187">
        <v>0</v>
      </c>
      <c r="H187">
        <v>0</v>
      </c>
      <c r="I187">
        <v>239059</v>
      </c>
      <c r="J187">
        <v>16</v>
      </c>
      <c r="L187" t="s">
        <v>15</v>
      </c>
      <c r="M187">
        <f t="shared" si="15"/>
        <v>1</v>
      </c>
      <c r="N187">
        <f t="shared" si="16"/>
        <v>0</v>
      </c>
      <c r="P187">
        <f t="shared" si="22"/>
        <v>40</v>
      </c>
      <c r="Q187">
        <f t="shared" si="17"/>
        <v>21</v>
      </c>
    </row>
    <row r="188" spans="1:17" x14ac:dyDescent="0.35">
      <c r="A188">
        <v>1078</v>
      </c>
      <c r="B188">
        <v>1</v>
      </c>
      <c r="C188">
        <v>2</v>
      </c>
      <c r="D188" t="s">
        <v>284</v>
      </c>
      <c r="E188" t="s">
        <v>14</v>
      </c>
      <c r="F188">
        <v>21</v>
      </c>
      <c r="G188">
        <v>0</v>
      </c>
      <c r="H188">
        <v>1</v>
      </c>
      <c r="I188" t="s">
        <v>285</v>
      </c>
      <c r="J188">
        <v>21</v>
      </c>
      <c r="L188" t="s">
        <v>15</v>
      </c>
      <c r="M188">
        <f t="shared" si="15"/>
        <v>0</v>
      </c>
      <c r="N188">
        <f t="shared" si="16"/>
        <v>1</v>
      </c>
      <c r="P188" t="str">
        <f t="shared" si="22"/>
        <v/>
      </c>
      <c r="Q188" t="str">
        <f t="shared" si="17"/>
        <v/>
      </c>
    </row>
    <row r="189" spans="1:17" x14ac:dyDescent="0.35">
      <c r="A189">
        <v>1079</v>
      </c>
      <c r="B189">
        <v>0</v>
      </c>
      <c r="C189">
        <v>3</v>
      </c>
      <c r="D189" t="s">
        <v>286</v>
      </c>
      <c r="E189" t="s">
        <v>11</v>
      </c>
      <c r="F189">
        <v>17</v>
      </c>
      <c r="G189">
        <v>2</v>
      </c>
      <c r="H189">
        <v>0</v>
      </c>
      <c r="I189" t="s">
        <v>287</v>
      </c>
      <c r="J189">
        <v>8.0500000000000007</v>
      </c>
      <c r="L189" t="s">
        <v>15</v>
      </c>
      <c r="M189">
        <f t="shared" si="15"/>
        <v>1</v>
      </c>
      <c r="N189">
        <f t="shared" si="16"/>
        <v>0</v>
      </c>
      <c r="P189">
        <f t="shared" si="22"/>
        <v>17</v>
      </c>
      <c r="Q189">
        <f t="shared" si="17"/>
        <v>0</v>
      </c>
    </row>
    <row r="190" spans="1:17" x14ac:dyDescent="0.35">
      <c r="A190">
        <v>1080</v>
      </c>
      <c r="B190">
        <v>1</v>
      </c>
      <c r="C190">
        <v>3</v>
      </c>
      <c r="D190" t="s">
        <v>288</v>
      </c>
      <c r="E190" t="s">
        <v>14</v>
      </c>
      <c r="G190">
        <v>8</v>
      </c>
      <c r="H190">
        <v>2</v>
      </c>
      <c r="I190" t="s">
        <v>289</v>
      </c>
      <c r="J190">
        <v>69.55</v>
      </c>
      <c r="L190" t="s">
        <v>15</v>
      </c>
      <c r="M190">
        <f t="shared" si="15"/>
        <v>0</v>
      </c>
      <c r="N190">
        <f t="shared" si="16"/>
        <v>1</v>
      </c>
      <c r="P190" t="str">
        <f t="shared" si="22"/>
        <v/>
      </c>
      <c r="Q190" t="str">
        <f t="shared" si="17"/>
        <v/>
      </c>
    </row>
    <row r="191" spans="1:17" x14ac:dyDescent="0.35">
      <c r="A191">
        <v>1081</v>
      </c>
      <c r="B191">
        <v>0</v>
      </c>
      <c r="C191">
        <v>2</v>
      </c>
      <c r="D191" t="s">
        <v>290</v>
      </c>
      <c r="E191" t="s">
        <v>11</v>
      </c>
      <c r="F191">
        <v>40</v>
      </c>
      <c r="G191">
        <v>0</v>
      </c>
      <c r="H191">
        <v>0</v>
      </c>
      <c r="I191">
        <v>28221</v>
      </c>
      <c r="J191">
        <v>13</v>
      </c>
      <c r="L191" t="s">
        <v>15</v>
      </c>
      <c r="M191">
        <f t="shared" si="15"/>
        <v>1</v>
      </c>
      <c r="N191">
        <f t="shared" si="16"/>
        <v>1</v>
      </c>
      <c r="P191">
        <f t="shared" si="22"/>
        <v>40</v>
      </c>
      <c r="Q191" t="str">
        <f t="shared" si="17"/>
        <v/>
      </c>
    </row>
    <row r="192" spans="1:17" x14ac:dyDescent="0.35">
      <c r="A192">
        <v>1082</v>
      </c>
      <c r="B192">
        <v>0</v>
      </c>
      <c r="C192">
        <v>2</v>
      </c>
      <c r="D192" t="s">
        <v>291</v>
      </c>
      <c r="E192" t="s">
        <v>11</v>
      </c>
      <c r="F192">
        <v>34</v>
      </c>
      <c r="G192">
        <v>1</v>
      </c>
      <c r="H192">
        <v>0</v>
      </c>
      <c r="I192">
        <v>226875</v>
      </c>
      <c r="J192">
        <v>26</v>
      </c>
      <c r="L192" t="s">
        <v>15</v>
      </c>
      <c r="M192">
        <f t="shared" si="15"/>
        <v>1</v>
      </c>
      <c r="N192">
        <f t="shared" si="16"/>
        <v>1</v>
      </c>
      <c r="P192">
        <f t="shared" si="22"/>
        <v>34</v>
      </c>
      <c r="Q192" t="str">
        <f t="shared" si="17"/>
        <v/>
      </c>
    </row>
    <row r="193" spans="1:17" x14ac:dyDescent="0.35">
      <c r="A193">
        <v>1083</v>
      </c>
      <c r="B193">
        <v>0</v>
      </c>
      <c r="C193">
        <v>1</v>
      </c>
      <c r="D193" t="s">
        <v>292</v>
      </c>
      <c r="E193" t="s">
        <v>11</v>
      </c>
      <c r="G193">
        <v>0</v>
      </c>
      <c r="H193">
        <v>0</v>
      </c>
      <c r="I193">
        <v>111163</v>
      </c>
      <c r="J193">
        <v>26</v>
      </c>
      <c r="L193" t="s">
        <v>15</v>
      </c>
      <c r="M193">
        <f t="shared" si="15"/>
        <v>1</v>
      </c>
      <c r="N193">
        <f t="shared" si="16"/>
        <v>1</v>
      </c>
      <c r="Q193" t="str">
        <f t="shared" si="17"/>
        <v/>
      </c>
    </row>
    <row r="194" spans="1:17" x14ac:dyDescent="0.35">
      <c r="A194">
        <v>1084</v>
      </c>
      <c r="B194">
        <v>0</v>
      </c>
      <c r="C194">
        <v>3</v>
      </c>
      <c r="D194" t="s">
        <v>293</v>
      </c>
      <c r="E194" t="s">
        <v>11</v>
      </c>
      <c r="F194">
        <v>11.5</v>
      </c>
      <c r="G194">
        <v>1</v>
      </c>
      <c r="H194">
        <v>1</v>
      </c>
      <c r="I194" t="s">
        <v>294</v>
      </c>
      <c r="J194">
        <v>14.5</v>
      </c>
      <c r="L194" t="s">
        <v>15</v>
      </c>
      <c r="M194">
        <f t="shared" si="15"/>
        <v>1</v>
      </c>
      <c r="N194">
        <f t="shared" si="16"/>
        <v>1</v>
      </c>
      <c r="P194">
        <f>IF(E194="male",F194,"")</f>
        <v>11.5</v>
      </c>
      <c r="Q194" t="str">
        <f t="shared" si="17"/>
        <v/>
      </c>
    </row>
    <row r="195" spans="1:17" x14ac:dyDescent="0.35">
      <c r="A195">
        <v>1085</v>
      </c>
      <c r="B195">
        <v>0</v>
      </c>
      <c r="C195">
        <v>2</v>
      </c>
      <c r="D195" t="s">
        <v>295</v>
      </c>
      <c r="E195" t="s">
        <v>11</v>
      </c>
      <c r="F195">
        <v>61</v>
      </c>
      <c r="G195">
        <v>0</v>
      </c>
      <c r="H195">
        <v>0</v>
      </c>
      <c r="I195">
        <v>235509</v>
      </c>
      <c r="J195">
        <v>12.35</v>
      </c>
      <c r="L195" t="s">
        <v>12</v>
      </c>
      <c r="M195">
        <f t="shared" ref="M195:M258" si="23">IF(E195="male",1,0)</f>
        <v>1</v>
      </c>
      <c r="N195">
        <f t="shared" ref="N195:N258" si="24">IF(E196="female",0,1)</f>
        <v>1</v>
      </c>
      <c r="P195">
        <f t="shared" ref="P195" si="25">IF(E195="male",F195,"")</f>
        <v>61</v>
      </c>
      <c r="Q195" t="str">
        <f t="shared" ref="Q195:Q258" si="26">IF(E196="female",F196,"")</f>
        <v/>
      </c>
    </row>
    <row r="196" spans="1:17" x14ac:dyDescent="0.35">
      <c r="A196">
        <v>1086</v>
      </c>
      <c r="B196">
        <v>0</v>
      </c>
      <c r="C196">
        <v>2</v>
      </c>
      <c r="D196" t="s">
        <v>296</v>
      </c>
      <c r="E196" t="s">
        <v>11</v>
      </c>
      <c r="F196">
        <v>8</v>
      </c>
      <c r="G196">
        <v>0</v>
      </c>
      <c r="H196">
        <v>2</v>
      </c>
      <c r="I196">
        <v>28220</v>
      </c>
      <c r="J196">
        <v>32.5</v>
      </c>
      <c r="L196" t="s">
        <v>15</v>
      </c>
      <c r="M196">
        <f t="shared" si="23"/>
        <v>1</v>
      </c>
      <c r="N196">
        <f t="shared" si="24"/>
        <v>1</v>
      </c>
      <c r="P196">
        <f t="shared" ref="P196:P206" si="27">IF(E196="male",F196,"")</f>
        <v>8</v>
      </c>
      <c r="Q196" t="str">
        <f t="shared" si="26"/>
        <v/>
      </c>
    </row>
    <row r="197" spans="1:17" x14ac:dyDescent="0.35">
      <c r="A197">
        <v>1087</v>
      </c>
      <c r="B197">
        <v>0</v>
      </c>
      <c r="C197">
        <v>3</v>
      </c>
      <c r="D197" t="s">
        <v>297</v>
      </c>
      <c r="E197" t="s">
        <v>11</v>
      </c>
      <c r="F197">
        <v>33</v>
      </c>
      <c r="G197">
        <v>0</v>
      </c>
      <c r="H197">
        <v>0</v>
      </c>
      <c r="I197">
        <v>347465</v>
      </c>
      <c r="J197">
        <v>7.8541999999999996</v>
      </c>
      <c r="L197" t="s">
        <v>15</v>
      </c>
      <c r="M197">
        <f t="shared" si="23"/>
        <v>1</v>
      </c>
      <c r="N197">
        <f t="shared" si="24"/>
        <v>1</v>
      </c>
      <c r="P197">
        <f t="shared" si="27"/>
        <v>33</v>
      </c>
      <c r="Q197" t="str">
        <f t="shared" si="26"/>
        <v/>
      </c>
    </row>
    <row r="198" spans="1:17" x14ac:dyDescent="0.35">
      <c r="A198">
        <v>1088</v>
      </c>
      <c r="B198">
        <v>0</v>
      </c>
      <c r="C198">
        <v>1</v>
      </c>
      <c r="D198" t="s">
        <v>298</v>
      </c>
      <c r="E198" t="s">
        <v>11</v>
      </c>
      <c r="F198">
        <v>6</v>
      </c>
      <c r="G198">
        <v>0</v>
      </c>
      <c r="H198">
        <v>2</v>
      </c>
      <c r="I198">
        <v>16966</v>
      </c>
      <c r="J198">
        <v>134.5</v>
      </c>
      <c r="K198" t="s">
        <v>299</v>
      </c>
      <c r="L198" t="s">
        <v>23</v>
      </c>
      <c r="M198">
        <f t="shared" si="23"/>
        <v>1</v>
      </c>
      <c r="N198">
        <f t="shared" si="24"/>
        <v>0</v>
      </c>
      <c r="P198">
        <f t="shared" si="27"/>
        <v>6</v>
      </c>
      <c r="Q198">
        <f t="shared" si="26"/>
        <v>18</v>
      </c>
    </row>
    <row r="199" spans="1:17" x14ac:dyDescent="0.35">
      <c r="A199">
        <v>1089</v>
      </c>
      <c r="B199">
        <v>1</v>
      </c>
      <c r="C199">
        <v>3</v>
      </c>
      <c r="D199" t="s">
        <v>300</v>
      </c>
      <c r="E199" t="s">
        <v>14</v>
      </c>
      <c r="F199">
        <v>18</v>
      </c>
      <c r="G199">
        <v>0</v>
      </c>
      <c r="H199">
        <v>0</v>
      </c>
      <c r="I199">
        <v>347066</v>
      </c>
      <c r="J199">
        <v>7.7750000000000004</v>
      </c>
      <c r="L199" t="s">
        <v>15</v>
      </c>
      <c r="M199">
        <f t="shared" si="23"/>
        <v>0</v>
      </c>
      <c r="N199">
        <f t="shared" si="24"/>
        <v>1</v>
      </c>
      <c r="P199" t="str">
        <f t="shared" si="27"/>
        <v/>
      </c>
      <c r="Q199" t="str">
        <f t="shared" si="26"/>
        <v/>
      </c>
    </row>
    <row r="200" spans="1:17" x14ac:dyDescent="0.35">
      <c r="A200">
        <v>1090</v>
      </c>
      <c r="B200">
        <v>0</v>
      </c>
      <c r="C200">
        <v>2</v>
      </c>
      <c r="D200" t="s">
        <v>301</v>
      </c>
      <c r="E200" t="s">
        <v>11</v>
      </c>
      <c r="F200">
        <v>23</v>
      </c>
      <c r="G200">
        <v>0</v>
      </c>
      <c r="H200">
        <v>0</v>
      </c>
      <c r="I200" t="s">
        <v>302</v>
      </c>
      <c r="J200">
        <v>10.5</v>
      </c>
      <c r="L200" t="s">
        <v>15</v>
      </c>
      <c r="M200">
        <f t="shared" si="23"/>
        <v>1</v>
      </c>
      <c r="N200">
        <f t="shared" si="24"/>
        <v>0</v>
      </c>
      <c r="P200">
        <f t="shared" si="27"/>
        <v>23</v>
      </c>
      <c r="Q200">
        <f t="shared" si="26"/>
        <v>0</v>
      </c>
    </row>
    <row r="201" spans="1:17" x14ac:dyDescent="0.35">
      <c r="A201">
        <v>1091</v>
      </c>
      <c r="B201">
        <v>1</v>
      </c>
      <c r="C201">
        <v>3</v>
      </c>
      <c r="D201" t="s">
        <v>303</v>
      </c>
      <c r="E201" t="s">
        <v>14</v>
      </c>
      <c r="G201">
        <v>0</v>
      </c>
      <c r="H201">
        <v>0</v>
      </c>
      <c r="I201">
        <v>65305</v>
      </c>
      <c r="J201">
        <v>8.1125000000000007</v>
      </c>
      <c r="L201" t="s">
        <v>15</v>
      </c>
      <c r="M201">
        <f t="shared" si="23"/>
        <v>0</v>
      </c>
      <c r="N201">
        <f t="shared" si="24"/>
        <v>0</v>
      </c>
      <c r="P201" t="str">
        <f t="shared" si="27"/>
        <v/>
      </c>
      <c r="Q201">
        <f t="shared" si="26"/>
        <v>0</v>
      </c>
    </row>
    <row r="202" spans="1:17" x14ac:dyDescent="0.35">
      <c r="A202">
        <v>1092</v>
      </c>
      <c r="B202">
        <v>1</v>
      </c>
      <c r="C202">
        <v>3</v>
      </c>
      <c r="D202" t="s">
        <v>304</v>
      </c>
      <c r="E202" t="s">
        <v>14</v>
      </c>
      <c r="G202">
        <v>0</v>
      </c>
      <c r="H202">
        <v>0</v>
      </c>
      <c r="I202">
        <v>36568</v>
      </c>
      <c r="J202">
        <v>15.5</v>
      </c>
      <c r="L202" t="s">
        <v>12</v>
      </c>
      <c r="M202">
        <f t="shared" si="23"/>
        <v>0</v>
      </c>
      <c r="N202">
        <f t="shared" si="24"/>
        <v>1</v>
      </c>
      <c r="P202" t="str">
        <f t="shared" si="27"/>
        <v/>
      </c>
      <c r="Q202" t="str">
        <f t="shared" si="26"/>
        <v/>
      </c>
    </row>
    <row r="203" spans="1:17" x14ac:dyDescent="0.35">
      <c r="A203">
        <v>1093</v>
      </c>
      <c r="B203">
        <v>0</v>
      </c>
      <c r="C203">
        <v>3</v>
      </c>
      <c r="D203" t="s">
        <v>305</v>
      </c>
      <c r="E203" t="s">
        <v>11</v>
      </c>
      <c r="F203">
        <v>0.33</v>
      </c>
      <c r="G203">
        <v>0</v>
      </c>
      <c r="H203">
        <v>2</v>
      </c>
      <c r="I203">
        <v>347080</v>
      </c>
      <c r="J203">
        <v>14.4</v>
      </c>
      <c r="L203" t="s">
        <v>15</v>
      </c>
      <c r="M203">
        <f t="shared" si="23"/>
        <v>1</v>
      </c>
      <c r="N203">
        <f t="shared" si="24"/>
        <v>1</v>
      </c>
      <c r="P203">
        <f t="shared" si="27"/>
        <v>0.33</v>
      </c>
      <c r="Q203" t="str">
        <f t="shared" si="26"/>
        <v/>
      </c>
    </row>
    <row r="204" spans="1:17" x14ac:dyDescent="0.35">
      <c r="A204">
        <v>1094</v>
      </c>
      <c r="B204">
        <v>0</v>
      </c>
      <c r="C204">
        <v>1</v>
      </c>
      <c r="D204" t="s">
        <v>306</v>
      </c>
      <c r="E204" t="s">
        <v>11</v>
      </c>
      <c r="F204">
        <v>47</v>
      </c>
      <c r="G204">
        <v>1</v>
      </c>
      <c r="H204">
        <v>0</v>
      </c>
      <c r="I204" t="s">
        <v>307</v>
      </c>
      <c r="J204">
        <v>227.52500000000001</v>
      </c>
      <c r="K204" t="s">
        <v>308</v>
      </c>
      <c r="L204" t="s">
        <v>23</v>
      </c>
      <c r="M204">
        <f t="shared" si="23"/>
        <v>1</v>
      </c>
      <c r="N204">
        <f t="shared" si="24"/>
        <v>0</v>
      </c>
      <c r="P204">
        <f t="shared" si="27"/>
        <v>47</v>
      </c>
      <c r="Q204">
        <f t="shared" si="26"/>
        <v>8</v>
      </c>
    </row>
    <row r="205" spans="1:17" x14ac:dyDescent="0.35">
      <c r="A205">
        <v>1095</v>
      </c>
      <c r="B205">
        <v>1</v>
      </c>
      <c r="C205">
        <v>2</v>
      </c>
      <c r="D205" t="s">
        <v>309</v>
      </c>
      <c r="E205" t="s">
        <v>14</v>
      </c>
      <c r="F205">
        <v>8</v>
      </c>
      <c r="G205">
        <v>1</v>
      </c>
      <c r="H205">
        <v>1</v>
      </c>
      <c r="I205">
        <v>26360</v>
      </c>
      <c r="J205">
        <v>26</v>
      </c>
      <c r="L205" t="s">
        <v>15</v>
      </c>
      <c r="M205">
        <f t="shared" si="23"/>
        <v>0</v>
      </c>
      <c r="N205">
        <f t="shared" si="24"/>
        <v>1</v>
      </c>
      <c r="P205" t="str">
        <f t="shared" si="27"/>
        <v/>
      </c>
      <c r="Q205" t="str">
        <f t="shared" si="26"/>
        <v/>
      </c>
    </row>
    <row r="206" spans="1:17" x14ac:dyDescent="0.35">
      <c r="A206">
        <v>1096</v>
      </c>
      <c r="B206">
        <v>0</v>
      </c>
      <c r="C206">
        <v>2</v>
      </c>
      <c r="D206" t="s">
        <v>310</v>
      </c>
      <c r="E206" t="s">
        <v>11</v>
      </c>
      <c r="F206">
        <v>25</v>
      </c>
      <c r="G206">
        <v>0</v>
      </c>
      <c r="H206">
        <v>0</v>
      </c>
      <c r="I206" t="s">
        <v>311</v>
      </c>
      <c r="J206">
        <v>10.5</v>
      </c>
      <c r="L206" t="s">
        <v>15</v>
      </c>
      <c r="M206">
        <f t="shared" si="23"/>
        <v>1</v>
      </c>
      <c r="N206">
        <f t="shared" si="24"/>
        <v>1</v>
      </c>
      <c r="P206">
        <f t="shared" si="27"/>
        <v>25</v>
      </c>
      <c r="Q206" t="str">
        <f t="shared" si="26"/>
        <v/>
      </c>
    </row>
    <row r="207" spans="1:17" x14ac:dyDescent="0.35">
      <c r="A207">
        <v>1097</v>
      </c>
      <c r="B207">
        <v>0</v>
      </c>
      <c r="C207">
        <v>1</v>
      </c>
      <c r="D207" t="s">
        <v>312</v>
      </c>
      <c r="E207" t="s">
        <v>11</v>
      </c>
      <c r="G207">
        <v>0</v>
      </c>
      <c r="H207">
        <v>0</v>
      </c>
      <c r="I207" t="s">
        <v>313</v>
      </c>
      <c r="J207">
        <v>25.741700000000002</v>
      </c>
      <c r="L207" t="s">
        <v>23</v>
      </c>
      <c r="M207">
        <f t="shared" si="23"/>
        <v>1</v>
      </c>
      <c r="N207">
        <f t="shared" si="24"/>
        <v>0</v>
      </c>
      <c r="Q207">
        <f t="shared" si="26"/>
        <v>35</v>
      </c>
    </row>
    <row r="208" spans="1:17" x14ac:dyDescent="0.35">
      <c r="A208">
        <v>1098</v>
      </c>
      <c r="B208">
        <v>1</v>
      </c>
      <c r="C208">
        <v>3</v>
      </c>
      <c r="D208" t="s">
        <v>314</v>
      </c>
      <c r="E208" t="s">
        <v>14</v>
      </c>
      <c r="F208">
        <v>35</v>
      </c>
      <c r="G208">
        <v>0</v>
      </c>
      <c r="H208">
        <v>0</v>
      </c>
      <c r="I208">
        <v>9232</v>
      </c>
      <c r="J208">
        <v>7.75</v>
      </c>
      <c r="L208" t="s">
        <v>12</v>
      </c>
      <c r="M208">
        <f t="shared" si="23"/>
        <v>0</v>
      </c>
      <c r="N208">
        <f t="shared" si="24"/>
        <v>1</v>
      </c>
      <c r="P208" t="str">
        <f>IF(E208="male",F208,"")</f>
        <v/>
      </c>
      <c r="Q208" t="str">
        <f t="shared" si="26"/>
        <v/>
      </c>
    </row>
    <row r="209" spans="1:17" x14ac:dyDescent="0.35">
      <c r="A209">
        <v>1099</v>
      </c>
      <c r="B209">
        <v>0</v>
      </c>
      <c r="C209">
        <v>2</v>
      </c>
      <c r="D209" t="s">
        <v>315</v>
      </c>
      <c r="E209" t="s">
        <v>11</v>
      </c>
      <c r="F209">
        <v>24</v>
      </c>
      <c r="G209">
        <v>0</v>
      </c>
      <c r="H209">
        <v>0</v>
      </c>
      <c r="I209">
        <v>28034</v>
      </c>
      <c r="J209">
        <v>10.5</v>
      </c>
      <c r="L209" t="s">
        <v>15</v>
      </c>
      <c r="M209">
        <f t="shared" si="23"/>
        <v>1</v>
      </c>
      <c r="N209">
        <f t="shared" si="24"/>
        <v>0</v>
      </c>
      <c r="P209">
        <f>IF(E209="male",F209,"")</f>
        <v>24</v>
      </c>
      <c r="Q209">
        <f t="shared" si="26"/>
        <v>33</v>
      </c>
    </row>
    <row r="210" spans="1:17" x14ac:dyDescent="0.35">
      <c r="A210">
        <v>1100</v>
      </c>
      <c r="B210">
        <v>1</v>
      </c>
      <c r="C210">
        <v>1</v>
      </c>
      <c r="D210" t="s">
        <v>316</v>
      </c>
      <c r="E210" t="s">
        <v>14</v>
      </c>
      <c r="F210">
        <v>33</v>
      </c>
      <c r="G210">
        <v>0</v>
      </c>
      <c r="H210">
        <v>0</v>
      </c>
      <c r="I210" t="s">
        <v>317</v>
      </c>
      <c r="J210">
        <v>27.720800000000001</v>
      </c>
      <c r="K210" t="s">
        <v>318</v>
      </c>
      <c r="L210" t="s">
        <v>23</v>
      </c>
      <c r="M210">
        <f t="shared" si="23"/>
        <v>0</v>
      </c>
      <c r="N210">
        <f t="shared" si="24"/>
        <v>1</v>
      </c>
      <c r="P210" t="str">
        <f>IF(E210="male",F210,"")</f>
        <v/>
      </c>
      <c r="Q210" t="str">
        <f t="shared" si="26"/>
        <v/>
      </c>
    </row>
    <row r="211" spans="1:17" x14ac:dyDescent="0.35">
      <c r="A211">
        <v>1101</v>
      </c>
      <c r="B211">
        <v>0</v>
      </c>
      <c r="C211">
        <v>3</v>
      </c>
      <c r="D211" t="s">
        <v>319</v>
      </c>
      <c r="E211" t="s">
        <v>11</v>
      </c>
      <c r="F211">
        <v>25</v>
      </c>
      <c r="G211">
        <v>0</v>
      </c>
      <c r="H211">
        <v>0</v>
      </c>
      <c r="I211">
        <v>349250</v>
      </c>
      <c r="J211">
        <v>7.8958000000000004</v>
      </c>
      <c r="L211" t="s">
        <v>15</v>
      </c>
      <c r="M211">
        <f t="shared" si="23"/>
        <v>1</v>
      </c>
      <c r="N211">
        <f t="shared" si="24"/>
        <v>1</v>
      </c>
      <c r="P211">
        <f>IF(E211="male",F211,"")</f>
        <v>25</v>
      </c>
      <c r="Q211" t="str">
        <f t="shared" si="26"/>
        <v/>
      </c>
    </row>
    <row r="212" spans="1:17" x14ac:dyDescent="0.35">
      <c r="A212">
        <v>1102</v>
      </c>
      <c r="B212">
        <v>0</v>
      </c>
      <c r="C212">
        <v>3</v>
      </c>
      <c r="D212" t="s">
        <v>320</v>
      </c>
      <c r="E212" t="s">
        <v>11</v>
      </c>
      <c r="F212">
        <v>32</v>
      </c>
      <c r="G212">
        <v>0</v>
      </c>
      <c r="H212">
        <v>0</v>
      </c>
      <c r="I212" t="s">
        <v>171</v>
      </c>
      <c r="J212">
        <v>22.524999999999999</v>
      </c>
      <c r="L212" t="s">
        <v>15</v>
      </c>
      <c r="M212">
        <f t="shared" si="23"/>
        <v>1</v>
      </c>
      <c r="N212">
        <f t="shared" si="24"/>
        <v>1</v>
      </c>
      <c r="P212">
        <f>IF(E212="male",F212,"")</f>
        <v>32</v>
      </c>
      <c r="Q212" t="str">
        <f t="shared" si="26"/>
        <v/>
      </c>
    </row>
    <row r="213" spans="1:17" x14ac:dyDescent="0.35">
      <c r="A213">
        <v>1103</v>
      </c>
      <c r="B213">
        <v>0</v>
      </c>
      <c r="C213">
        <v>3</v>
      </c>
      <c r="D213" t="s">
        <v>321</v>
      </c>
      <c r="E213" t="s">
        <v>11</v>
      </c>
      <c r="G213">
        <v>0</v>
      </c>
      <c r="H213">
        <v>0</v>
      </c>
      <c r="I213" t="s">
        <v>322</v>
      </c>
      <c r="J213">
        <v>7.05</v>
      </c>
      <c r="L213" t="s">
        <v>15</v>
      </c>
      <c r="M213">
        <f t="shared" si="23"/>
        <v>1</v>
      </c>
      <c r="N213">
        <f t="shared" si="24"/>
        <v>1</v>
      </c>
      <c r="Q213" t="str">
        <f t="shared" si="26"/>
        <v/>
      </c>
    </row>
    <row r="214" spans="1:17" x14ac:dyDescent="0.35">
      <c r="A214">
        <v>1104</v>
      </c>
      <c r="B214">
        <v>0</v>
      </c>
      <c r="C214">
        <v>2</v>
      </c>
      <c r="D214" t="s">
        <v>323</v>
      </c>
      <c r="E214" t="s">
        <v>11</v>
      </c>
      <c r="F214">
        <v>17</v>
      </c>
      <c r="G214">
        <v>0</v>
      </c>
      <c r="H214">
        <v>0</v>
      </c>
      <c r="I214" t="s">
        <v>324</v>
      </c>
      <c r="J214">
        <v>73.5</v>
      </c>
      <c r="L214" t="s">
        <v>15</v>
      </c>
      <c r="M214">
        <f t="shared" si="23"/>
        <v>1</v>
      </c>
      <c r="N214">
        <f t="shared" si="24"/>
        <v>0</v>
      </c>
      <c r="P214">
        <f t="shared" ref="P214:P220" si="28">IF(E214="male",F214,"")</f>
        <v>17</v>
      </c>
      <c r="Q214">
        <f t="shared" si="26"/>
        <v>60</v>
      </c>
    </row>
    <row r="215" spans="1:17" x14ac:dyDescent="0.35">
      <c r="A215">
        <v>1105</v>
      </c>
      <c r="B215">
        <v>1</v>
      </c>
      <c r="C215">
        <v>2</v>
      </c>
      <c r="D215" t="s">
        <v>325</v>
      </c>
      <c r="E215" t="s">
        <v>14</v>
      </c>
      <c r="F215">
        <v>60</v>
      </c>
      <c r="G215">
        <v>1</v>
      </c>
      <c r="H215">
        <v>0</v>
      </c>
      <c r="I215">
        <v>24065</v>
      </c>
      <c r="J215">
        <v>26</v>
      </c>
      <c r="L215" t="s">
        <v>15</v>
      </c>
      <c r="M215">
        <f t="shared" si="23"/>
        <v>0</v>
      </c>
      <c r="N215">
        <f t="shared" si="24"/>
        <v>0</v>
      </c>
      <c r="P215" t="str">
        <f t="shared" si="28"/>
        <v/>
      </c>
      <c r="Q215">
        <f t="shared" si="26"/>
        <v>38</v>
      </c>
    </row>
    <row r="216" spans="1:17" x14ac:dyDescent="0.35">
      <c r="A216">
        <v>1106</v>
      </c>
      <c r="B216">
        <v>1</v>
      </c>
      <c r="C216">
        <v>3</v>
      </c>
      <c r="D216" t="s">
        <v>326</v>
      </c>
      <c r="E216" t="s">
        <v>14</v>
      </c>
      <c r="F216">
        <v>38</v>
      </c>
      <c r="G216">
        <v>4</v>
      </c>
      <c r="H216">
        <v>2</v>
      </c>
      <c r="I216">
        <v>347091</v>
      </c>
      <c r="J216">
        <v>7.7750000000000004</v>
      </c>
      <c r="L216" t="s">
        <v>15</v>
      </c>
      <c r="M216">
        <f t="shared" si="23"/>
        <v>0</v>
      </c>
      <c r="N216">
        <f t="shared" si="24"/>
        <v>1</v>
      </c>
      <c r="P216" t="str">
        <f t="shared" si="28"/>
        <v/>
      </c>
      <c r="Q216" t="str">
        <f t="shared" si="26"/>
        <v/>
      </c>
    </row>
    <row r="217" spans="1:17" x14ac:dyDescent="0.35">
      <c r="A217">
        <v>1107</v>
      </c>
      <c r="B217">
        <v>0</v>
      </c>
      <c r="C217">
        <v>1</v>
      </c>
      <c r="D217" t="s">
        <v>327</v>
      </c>
      <c r="E217" t="s">
        <v>11</v>
      </c>
      <c r="F217">
        <v>42</v>
      </c>
      <c r="G217">
        <v>0</v>
      </c>
      <c r="H217">
        <v>0</v>
      </c>
      <c r="I217">
        <v>113038</v>
      </c>
      <c r="J217">
        <v>42.5</v>
      </c>
      <c r="K217" t="s">
        <v>328</v>
      </c>
      <c r="L217" t="s">
        <v>15</v>
      </c>
      <c r="M217">
        <f t="shared" si="23"/>
        <v>1</v>
      </c>
      <c r="N217">
        <f t="shared" si="24"/>
        <v>0</v>
      </c>
      <c r="P217">
        <f t="shared" si="28"/>
        <v>42</v>
      </c>
      <c r="Q217">
        <f t="shared" si="26"/>
        <v>0</v>
      </c>
    </row>
    <row r="218" spans="1:17" x14ac:dyDescent="0.35">
      <c r="A218">
        <v>1108</v>
      </c>
      <c r="B218">
        <v>1</v>
      </c>
      <c r="C218">
        <v>3</v>
      </c>
      <c r="D218" t="s">
        <v>329</v>
      </c>
      <c r="E218" t="s">
        <v>14</v>
      </c>
      <c r="G218">
        <v>0</v>
      </c>
      <c r="H218">
        <v>0</v>
      </c>
      <c r="I218">
        <v>330924</v>
      </c>
      <c r="J218">
        <v>7.8792</v>
      </c>
      <c r="L218" t="s">
        <v>12</v>
      </c>
      <c r="M218">
        <f t="shared" si="23"/>
        <v>0</v>
      </c>
      <c r="N218">
        <f t="shared" si="24"/>
        <v>1</v>
      </c>
      <c r="P218" t="str">
        <f t="shared" si="28"/>
        <v/>
      </c>
      <c r="Q218" t="str">
        <f t="shared" si="26"/>
        <v/>
      </c>
    </row>
    <row r="219" spans="1:17" x14ac:dyDescent="0.35">
      <c r="A219">
        <v>1109</v>
      </c>
      <c r="B219">
        <v>0</v>
      </c>
      <c r="C219">
        <v>1</v>
      </c>
      <c r="D219" t="s">
        <v>330</v>
      </c>
      <c r="E219" t="s">
        <v>11</v>
      </c>
      <c r="F219">
        <v>57</v>
      </c>
      <c r="G219">
        <v>1</v>
      </c>
      <c r="H219">
        <v>1</v>
      </c>
      <c r="I219">
        <v>36928</v>
      </c>
      <c r="J219">
        <v>164.86670000000001</v>
      </c>
      <c r="L219" t="s">
        <v>15</v>
      </c>
      <c r="M219">
        <f t="shared" si="23"/>
        <v>1</v>
      </c>
      <c r="N219">
        <f t="shared" si="24"/>
        <v>0</v>
      </c>
      <c r="P219">
        <f t="shared" si="28"/>
        <v>57</v>
      </c>
      <c r="Q219">
        <f t="shared" si="26"/>
        <v>50</v>
      </c>
    </row>
    <row r="220" spans="1:17" x14ac:dyDescent="0.35">
      <c r="A220">
        <v>1110</v>
      </c>
      <c r="B220">
        <v>1</v>
      </c>
      <c r="C220">
        <v>1</v>
      </c>
      <c r="D220" t="s">
        <v>331</v>
      </c>
      <c r="E220" t="s">
        <v>14</v>
      </c>
      <c r="F220">
        <v>50</v>
      </c>
      <c r="G220">
        <v>1</v>
      </c>
      <c r="H220">
        <v>1</v>
      </c>
      <c r="I220">
        <v>113503</v>
      </c>
      <c r="J220">
        <v>211.5</v>
      </c>
      <c r="K220" t="s">
        <v>332</v>
      </c>
      <c r="L220" t="s">
        <v>23</v>
      </c>
      <c r="M220">
        <f t="shared" si="23"/>
        <v>0</v>
      </c>
      <c r="N220">
        <f t="shared" si="24"/>
        <v>1</v>
      </c>
      <c r="P220" t="str">
        <f t="shared" si="28"/>
        <v/>
      </c>
      <c r="Q220" t="str">
        <f t="shared" si="26"/>
        <v/>
      </c>
    </row>
    <row r="221" spans="1:17" x14ac:dyDescent="0.35">
      <c r="A221">
        <v>1111</v>
      </c>
      <c r="B221">
        <v>0</v>
      </c>
      <c r="C221">
        <v>3</v>
      </c>
      <c r="D221" t="s">
        <v>333</v>
      </c>
      <c r="E221" t="s">
        <v>11</v>
      </c>
      <c r="G221">
        <v>0</v>
      </c>
      <c r="H221">
        <v>0</v>
      </c>
      <c r="I221">
        <v>32302</v>
      </c>
      <c r="J221">
        <v>8.0500000000000007</v>
      </c>
      <c r="L221" t="s">
        <v>15</v>
      </c>
      <c r="M221">
        <f t="shared" si="23"/>
        <v>1</v>
      </c>
      <c r="N221">
        <f t="shared" si="24"/>
        <v>0</v>
      </c>
      <c r="Q221">
        <f t="shared" si="26"/>
        <v>30</v>
      </c>
    </row>
    <row r="222" spans="1:17" x14ac:dyDescent="0.35">
      <c r="A222">
        <v>1112</v>
      </c>
      <c r="B222">
        <v>1</v>
      </c>
      <c r="C222">
        <v>2</v>
      </c>
      <c r="D222" t="s">
        <v>334</v>
      </c>
      <c r="E222" t="s">
        <v>14</v>
      </c>
      <c r="F222">
        <v>30</v>
      </c>
      <c r="G222">
        <v>1</v>
      </c>
      <c r="H222">
        <v>0</v>
      </c>
      <c r="I222" t="s">
        <v>335</v>
      </c>
      <c r="J222">
        <v>13.8583</v>
      </c>
      <c r="L222" t="s">
        <v>23</v>
      </c>
      <c r="M222">
        <f t="shared" si="23"/>
        <v>0</v>
      </c>
      <c r="N222">
        <f t="shared" si="24"/>
        <v>1</v>
      </c>
      <c r="P222" t="str">
        <f t="shared" ref="P222:P234" si="29">IF(E222="male",F222,"")</f>
        <v/>
      </c>
      <c r="Q222" t="str">
        <f t="shared" si="26"/>
        <v/>
      </c>
    </row>
    <row r="223" spans="1:17" x14ac:dyDescent="0.35">
      <c r="A223">
        <v>1113</v>
      </c>
      <c r="B223">
        <v>0</v>
      </c>
      <c r="C223">
        <v>3</v>
      </c>
      <c r="D223" t="s">
        <v>336</v>
      </c>
      <c r="E223" t="s">
        <v>11</v>
      </c>
      <c r="F223">
        <v>21</v>
      </c>
      <c r="G223">
        <v>0</v>
      </c>
      <c r="H223">
        <v>0</v>
      </c>
      <c r="I223">
        <v>342684</v>
      </c>
      <c r="J223">
        <v>8.0500000000000007</v>
      </c>
      <c r="L223" t="s">
        <v>15</v>
      </c>
      <c r="M223">
        <f t="shared" si="23"/>
        <v>1</v>
      </c>
      <c r="N223">
        <f t="shared" si="24"/>
        <v>0</v>
      </c>
      <c r="P223">
        <f t="shared" si="29"/>
        <v>21</v>
      </c>
      <c r="Q223">
        <f t="shared" si="26"/>
        <v>22</v>
      </c>
    </row>
    <row r="224" spans="1:17" x14ac:dyDescent="0.35">
      <c r="A224">
        <v>1114</v>
      </c>
      <c r="B224">
        <v>1</v>
      </c>
      <c r="C224">
        <v>2</v>
      </c>
      <c r="D224" t="s">
        <v>337</v>
      </c>
      <c r="E224" t="s">
        <v>14</v>
      </c>
      <c r="F224">
        <v>22</v>
      </c>
      <c r="G224">
        <v>0</v>
      </c>
      <c r="H224">
        <v>0</v>
      </c>
      <c r="I224" t="s">
        <v>338</v>
      </c>
      <c r="J224">
        <v>10.5</v>
      </c>
      <c r="K224" t="s">
        <v>339</v>
      </c>
      <c r="L224" t="s">
        <v>15</v>
      </c>
      <c r="M224">
        <f t="shared" si="23"/>
        <v>0</v>
      </c>
      <c r="N224">
        <f t="shared" si="24"/>
        <v>1</v>
      </c>
      <c r="P224" t="str">
        <f t="shared" si="29"/>
        <v/>
      </c>
      <c r="Q224" t="str">
        <f t="shared" si="26"/>
        <v/>
      </c>
    </row>
    <row r="225" spans="1:17" x14ac:dyDescent="0.35">
      <c r="A225">
        <v>1115</v>
      </c>
      <c r="B225">
        <v>0</v>
      </c>
      <c r="C225">
        <v>3</v>
      </c>
      <c r="D225" t="s">
        <v>340</v>
      </c>
      <c r="E225" t="s">
        <v>11</v>
      </c>
      <c r="F225">
        <v>21</v>
      </c>
      <c r="G225">
        <v>0</v>
      </c>
      <c r="H225">
        <v>0</v>
      </c>
      <c r="I225">
        <v>350053</v>
      </c>
      <c r="J225">
        <v>7.7957999999999998</v>
      </c>
      <c r="L225" t="s">
        <v>15</v>
      </c>
      <c r="M225">
        <f t="shared" si="23"/>
        <v>1</v>
      </c>
      <c r="N225">
        <f t="shared" si="24"/>
        <v>0</v>
      </c>
      <c r="P225">
        <f t="shared" si="29"/>
        <v>21</v>
      </c>
      <c r="Q225">
        <f t="shared" si="26"/>
        <v>53</v>
      </c>
    </row>
    <row r="226" spans="1:17" x14ac:dyDescent="0.35">
      <c r="A226">
        <v>1116</v>
      </c>
      <c r="B226">
        <v>1</v>
      </c>
      <c r="C226">
        <v>1</v>
      </c>
      <c r="D226" t="s">
        <v>341</v>
      </c>
      <c r="E226" t="s">
        <v>14</v>
      </c>
      <c r="F226">
        <v>53</v>
      </c>
      <c r="G226">
        <v>0</v>
      </c>
      <c r="H226">
        <v>0</v>
      </c>
      <c r="I226" t="s">
        <v>342</v>
      </c>
      <c r="J226">
        <v>27.445799999999998</v>
      </c>
      <c r="L226" t="s">
        <v>23</v>
      </c>
      <c r="M226">
        <f t="shared" si="23"/>
        <v>0</v>
      </c>
      <c r="N226">
        <f t="shared" si="24"/>
        <v>0</v>
      </c>
      <c r="P226" t="str">
        <f t="shared" si="29"/>
        <v/>
      </c>
      <c r="Q226">
        <f t="shared" si="26"/>
        <v>0</v>
      </c>
    </row>
    <row r="227" spans="1:17" x14ac:dyDescent="0.35">
      <c r="A227">
        <v>1117</v>
      </c>
      <c r="B227">
        <v>1</v>
      </c>
      <c r="C227">
        <v>3</v>
      </c>
      <c r="D227" t="s">
        <v>343</v>
      </c>
      <c r="E227" t="s">
        <v>14</v>
      </c>
      <c r="G227">
        <v>0</v>
      </c>
      <c r="H227">
        <v>2</v>
      </c>
      <c r="I227">
        <v>2661</v>
      </c>
      <c r="J227">
        <v>15.245799999999999</v>
      </c>
      <c r="L227" t="s">
        <v>23</v>
      </c>
      <c r="M227">
        <f t="shared" si="23"/>
        <v>0</v>
      </c>
      <c r="N227">
        <f t="shared" si="24"/>
        <v>1</v>
      </c>
      <c r="P227" t="str">
        <f t="shared" si="29"/>
        <v/>
      </c>
      <c r="Q227" t="str">
        <f t="shared" si="26"/>
        <v/>
      </c>
    </row>
    <row r="228" spans="1:17" x14ac:dyDescent="0.35">
      <c r="A228">
        <v>1118</v>
      </c>
      <c r="B228">
        <v>0</v>
      </c>
      <c r="C228">
        <v>3</v>
      </c>
      <c r="D228" t="s">
        <v>344</v>
      </c>
      <c r="E228" t="s">
        <v>11</v>
      </c>
      <c r="F228">
        <v>23</v>
      </c>
      <c r="G228">
        <v>0</v>
      </c>
      <c r="H228">
        <v>0</v>
      </c>
      <c r="I228">
        <v>350054</v>
      </c>
      <c r="J228">
        <v>7.7957999999999998</v>
      </c>
      <c r="L228" t="s">
        <v>15</v>
      </c>
      <c r="M228">
        <f t="shared" si="23"/>
        <v>1</v>
      </c>
      <c r="N228">
        <f t="shared" si="24"/>
        <v>0</v>
      </c>
      <c r="P228">
        <f t="shared" si="29"/>
        <v>23</v>
      </c>
      <c r="Q228">
        <f t="shared" si="26"/>
        <v>0</v>
      </c>
    </row>
    <row r="229" spans="1:17" x14ac:dyDescent="0.35">
      <c r="A229">
        <v>1119</v>
      </c>
      <c r="B229">
        <v>1</v>
      </c>
      <c r="C229">
        <v>3</v>
      </c>
      <c r="D229" t="s">
        <v>345</v>
      </c>
      <c r="E229" t="s">
        <v>14</v>
      </c>
      <c r="G229">
        <v>0</v>
      </c>
      <c r="H229">
        <v>0</v>
      </c>
      <c r="I229">
        <v>370368</v>
      </c>
      <c r="J229">
        <v>7.75</v>
      </c>
      <c r="L229" t="s">
        <v>12</v>
      </c>
      <c r="M229">
        <f t="shared" si="23"/>
        <v>0</v>
      </c>
      <c r="N229">
        <f t="shared" si="24"/>
        <v>1</v>
      </c>
      <c r="P229" t="str">
        <f t="shared" si="29"/>
        <v/>
      </c>
      <c r="Q229" t="str">
        <f t="shared" si="26"/>
        <v/>
      </c>
    </row>
    <row r="230" spans="1:17" x14ac:dyDescent="0.35">
      <c r="A230">
        <v>1120</v>
      </c>
      <c r="B230">
        <v>0</v>
      </c>
      <c r="C230">
        <v>3</v>
      </c>
      <c r="D230" t="s">
        <v>346</v>
      </c>
      <c r="E230" t="s">
        <v>11</v>
      </c>
      <c r="F230">
        <v>40.5</v>
      </c>
      <c r="G230">
        <v>0</v>
      </c>
      <c r="H230">
        <v>0</v>
      </c>
      <c r="I230" t="s">
        <v>347</v>
      </c>
      <c r="J230">
        <v>15.1</v>
      </c>
      <c r="L230" t="s">
        <v>15</v>
      </c>
      <c r="M230">
        <f t="shared" si="23"/>
        <v>1</v>
      </c>
      <c r="N230">
        <f t="shared" si="24"/>
        <v>1</v>
      </c>
      <c r="P230">
        <f t="shared" si="29"/>
        <v>40.5</v>
      </c>
      <c r="Q230" t="str">
        <f t="shared" si="26"/>
        <v/>
      </c>
    </row>
    <row r="231" spans="1:17" x14ac:dyDescent="0.35">
      <c r="A231">
        <v>1121</v>
      </c>
      <c r="B231">
        <v>0</v>
      </c>
      <c r="C231">
        <v>2</v>
      </c>
      <c r="D231" t="s">
        <v>348</v>
      </c>
      <c r="E231" t="s">
        <v>11</v>
      </c>
      <c r="F231">
        <v>36</v>
      </c>
      <c r="G231">
        <v>0</v>
      </c>
      <c r="H231">
        <v>0</v>
      </c>
      <c r="I231">
        <v>242963</v>
      </c>
      <c r="J231">
        <v>13</v>
      </c>
      <c r="L231" t="s">
        <v>15</v>
      </c>
      <c r="M231">
        <f t="shared" si="23"/>
        <v>1</v>
      </c>
      <c r="N231">
        <f t="shared" si="24"/>
        <v>1</v>
      </c>
      <c r="P231">
        <f t="shared" si="29"/>
        <v>36</v>
      </c>
      <c r="Q231" t="str">
        <f t="shared" si="26"/>
        <v/>
      </c>
    </row>
    <row r="232" spans="1:17" x14ac:dyDescent="0.35">
      <c r="A232">
        <v>1122</v>
      </c>
      <c r="B232">
        <v>0</v>
      </c>
      <c r="C232">
        <v>2</v>
      </c>
      <c r="D232" t="s">
        <v>349</v>
      </c>
      <c r="E232" t="s">
        <v>11</v>
      </c>
      <c r="F232">
        <v>14</v>
      </c>
      <c r="G232">
        <v>0</v>
      </c>
      <c r="H232">
        <v>0</v>
      </c>
      <c r="I232">
        <v>220845</v>
      </c>
      <c r="J232">
        <v>65</v>
      </c>
      <c r="L232" t="s">
        <v>15</v>
      </c>
      <c r="M232">
        <f t="shared" si="23"/>
        <v>1</v>
      </c>
      <c r="N232">
        <f t="shared" si="24"/>
        <v>0</v>
      </c>
      <c r="P232">
        <f t="shared" si="29"/>
        <v>14</v>
      </c>
      <c r="Q232">
        <f t="shared" si="26"/>
        <v>21</v>
      </c>
    </row>
    <row r="233" spans="1:17" x14ac:dyDescent="0.35">
      <c r="A233">
        <v>1123</v>
      </c>
      <c r="B233">
        <v>1</v>
      </c>
      <c r="C233">
        <v>1</v>
      </c>
      <c r="D233" t="s">
        <v>350</v>
      </c>
      <c r="E233" t="s">
        <v>14</v>
      </c>
      <c r="F233">
        <v>21</v>
      </c>
      <c r="G233">
        <v>0</v>
      </c>
      <c r="H233">
        <v>0</v>
      </c>
      <c r="I233">
        <v>113795</v>
      </c>
      <c r="J233">
        <v>26.55</v>
      </c>
      <c r="L233" t="s">
        <v>15</v>
      </c>
      <c r="M233">
        <f t="shared" si="23"/>
        <v>0</v>
      </c>
      <c r="N233">
        <f t="shared" si="24"/>
        <v>1</v>
      </c>
      <c r="P233" t="str">
        <f t="shared" si="29"/>
        <v/>
      </c>
      <c r="Q233" t="str">
        <f t="shared" si="26"/>
        <v/>
      </c>
    </row>
    <row r="234" spans="1:17" x14ac:dyDescent="0.35">
      <c r="A234">
        <v>1124</v>
      </c>
      <c r="B234">
        <v>0</v>
      </c>
      <c r="C234">
        <v>3</v>
      </c>
      <c r="D234" t="s">
        <v>351</v>
      </c>
      <c r="E234" t="s">
        <v>11</v>
      </c>
      <c r="F234">
        <v>21</v>
      </c>
      <c r="G234">
        <v>1</v>
      </c>
      <c r="H234">
        <v>0</v>
      </c>
      <c r="I234">
        <v>3101266</v>
      </c>
      <c r="J234">
        <v>6.4958</v>
      </c>
      <c r="L234" t="s">
        <v>15</v>
      </c>
      <c r="M234">
        <f t="shared" si="23"/>
        <v>1</v>
      </c>
      <c r="N234">
        <f t="shared" si="24"/>
        <v>1</v>
      </c>
      <c r="P234">
        <f t="shared" si="29"/>
        <v>21</v>
      </c>
      <c r="Q234" t="str">
        <f t="shared" si="26"/>
        <v/>
      </c>
    </row>
    <row r="235" spans="1:17" x14ac:dyDescent="0.35">
      <c r="A235">
        <v>1125</v>
      </c>
      <c r="B235">
        <v>0</v>
      </c>
      <c r="C235">
        <v>3</v>
      </c>
      <c r="D235" t="s">
        <v>352</v>
      </c>
      <c r="E235" t="s">
        <v>11</v>
      </c>
      <c r="G235">
        <v>0</v>
      </c>
      <c r="H235">
        <v>0</v>
      </c>
      <c r="I235">
        <v>330971</v>
      </c>
      <c r="J235">
        <v>7.8792</v>
      </c>
      <c r="L235" t="s">
        <v>12</v>
      </c>
      <c r="M235">
        <f t="shared" si="23"/>
        <v>1</v>
      </c>
      <c r="N235">
        <f t="shared" si="24"/>
        <v>1</v>
      </c>
      <c r="Q235" t="str">
        <f t="shared" si="26"/>
        <v/>
      </c>
    </row>
    <row r="236" spans="1:17" x14ac:dyDescent="0.35">
      <c r="A236">
        <v>1126</v>
      </c>
      <c r="B236">
        <v>0</v>
      </c>
      <c r="C236">
        <v>1</v>
      </c>
      <c r="D236" t="s">
        <v>353</v>
      </c>
      <c r="E236" t="s">
        <v>11</v>
      </c>
      <c r="F236">
        <v>39</v>
      </c>
      <c r="G236">
        <v>1</v>
      </c>
      <c r="H236">
        <v>0</v>
      </c>
      <c r="I236" t="s">
        <v>354</v>
      </c>
      <c r="J236">
        <v>71.283299999999997</v>
      </c>
      <c r="K236" t="s">
        <v>355</v>
      </c>
      <c r="L236" t="s">
        <v>23</v>
      </c>
      <c r="M236">
        <f t="shared" si="23"/>
        <v>1</v>
      </c>
      <c r="N236">
        <f t="shared" si="24"/>
        <v>1</v>
      </c>
      <c r="P236">
        <f t="shared" ref="P236:P244" si="30">IF(E236="male",F236,"")</f>
        <v>39</v>
      </c>
      <c r="Q236" t="str">
        <f t="shared" si="26"/>
        <v/>
      </c>
    </row>
    <row r="237" spans="1:17" x14ac:dyDescent="0.35">
      <c r="A237">
        <v>1127</v>
      </c>
      <c r="B237">
        <v>0</v>
      </c>
      <c r="C237">
        <v>3</v>
      </c>
      <c r="D237" t="s">
        <v>356</v>
      </c>
      <c r="E237" t="s">
        <v>11</v>
      </c>
      <c r="F237">
        <v>20</v>
      </c>
      <c r="G237">
        <v>0</v>
      </c>
      <c r="H237">
        <v>0</v>
      </c>
      <c r="I237">
        <v>350416</v>
      </c>
      <c r="J237">
        <v>7.8541999999999996</v>
      </c>
      <c r="L237" t="s">
        <v>15</v>
      </c>
      <c r="M237">
        <f t="shared" si="23"/>
        <v>1</v>
      </c>
      <c r="N237">
        <f t="shared" si="24"/>
        <v>1</v>
      </c>
      <c r="P237">
        <f t="shared" si="30"/>
        <v>20</v>
      </c>
      <c r="Q237" t="str">
        <f t="shared" si="26"/>
        <v/>
      </c>
    </row>
    <row r="238" spans="1:17" x14ac:dyDescent="0.35">
      <c r="A238">
        <v>1128</v>
      </c>
      <c r="B238">
        <v>0</v>
      </c>
      <c r="C238">
        <v>1</v>
      </c>
      <c r="D238" t="s">
        <v>357</v>
      </c>
      <c r="E238" t="s">
        <v>11</v>
      </c>
      <c r="F238">
        <v>64</v>
      </c>
      <c r="G238">
        <v>1</v>
      </c>
      <c r="H238">
        <v>0</v>
      </c>
      <c r="I238">
        <v>110813</v>
      </c>
      <c r="J238">
        <v>75.25</v>
      </c>
      <c r="K238" t="s">
        <v>358</v>
      </c>
      <c r="L238" t="s">
        <v>23</v>
      </c>
      <c r="M238">
        <f t="shared" si="23"/>
        <v>1</v>
      </c>
      <c r="N238">
        <f t="shared" si="24"/>
        <v>1</v>
      </c>
      <c r="P238">
        <f t="shared" si="30"/>
        <v>64</v>
      </c>
      <c r="Q238" t="str">
        <f t="shared" si="26"/>
        <v/>
      </c>
    </row>
    <row r="239" spans="1:17" x14ac:dyDescent="0.35">
      <c r="A239">
        <v>1129</v>
      </c>
      <c r="B239">
        <v>0</v>
      </c>
      <c r="C239">
        <v>3</v>
      </c>
      <c r="D239" t="s">
        <v>359</v>
      </c>
      <c r="E239" t="s">
        <v>11</v>
      </c>
      <c r="F239">
        <v>20</v>
      </c>
      <c r="G239">
        <v>0</v>
      </c>
      <c r="H239">
        <v>0</v>
      </c>
      <c r="I239">
        <v>2679</v>
      </c>
      <c r="J239">
        <v>7.2249999999999996</v>
      </c>
      <c r="L239" t="s">
        <v>23</v>
      </c>
      <c r="M239">
        <f t="shared" si="23"/>
        <v>1</v>
      </c>
      <c r="N239">
        <f t="shared" si="24"/>
        <v>0</v>
      </c>
      <c r="P239">
        <f t="shared" si="30"/>
        <v>20</v>
      </c>
      <c r="Q239">
        <f t="shared" si="26"/>
        <v>18</v>
      </c>
    </row>
    <row r="240" spans="1:17" x14ac:dyDescent="0.35">
      <c r="A240">
        <v>1130</v>
      </c>
      <c r="B240">
        <v>1</v>
      </c>
      <c r="C240">
        <v>2</v>
      </c>
      <c r="D240" t="s">
        <v>360</v>
      </c>
      <c r="E240" t="s">
        <v>14</v>
      </c>
      <c r="F240">
        <v>18</v>
      </c>
      <c r="G240">
        <v>1</v>
      </c>
      <c r="H240">
        <v>1</v>
      </c>
      <c r="I240">
        <v>250650</v>
      </c>
      <c r="J240">
        <v>13</v>
      </c>
      <c r="L240" t="s">
        <v>15</v>
      </c>
      <c r="M240">
        <f t="shared" si="23"/>
        <v>0</v>
      </c>
      <c r="N240">
        <f t="shared" si="24"/>
        <v>0</v>
      </c>
      <c r="P240" t="str">
        <f t="shared" si="30"/>
        <v/>
      </c>
      <c r="Q240">
        <f t="shared" si="26"/>
        <v>48</v>
      </c>
    </row>
    <row r="241" spans="1:17" x14ac:dyDescent="0.35">
      <c r="A241">
        <v>1131</v>
      </c>
      <c r="B241">
        <v>1</v>
      </c>
      <c r="C241">
        <v>1</v>
      </c>
      <c r="D241" t="s">
        <v>361</v>
      </c>
      <c r="E241" t="s">
        <v>14</v>
      </c>
      <c r="F241">
        <v>48</v>
      </c>
      <c r="G241">
        <v>1</v>
      </c>
      <c r="H241">
        <v>0</v>
      </c>
      <c r="I241" t="s">
        <v>362</v>
      </c>
      <c r="J241">
        <v>106.425</v>
      </c>
      <c r="K241" t="s">
        <v>363</v>
      </c>
      <c r="L241" t="s">
        <v>23</v>
      </c>
      <c r="M241">
        <f t="shared" si="23"/>
        <v>0</v>
      </c>
      <c r="N241">
        <f t="shared" si="24"/>
        <v>0</v>
      </c>
      <c r="P241" t="str">
        <f t="shared" si="30"/>
        <v/>
      </c>
      <c r="Q241">
        <f t="shared" si="26"/>
        <v>55</v>
      </c>
    </row>
    <row r="242" spans="1:17" x14ac:dyDescent="0.35">
      <c r="A242">
        <v>1132</v>
      </c>
      <c r="B242">
        <v>1</v>
      </c>
      <c r="C242">
        <v>1</v>
      </c>
      <c r="D242" t="s">
        <v>364</v>
      </c>
      <c r="E242" t="s">
        <v>14</v>
      </c>
      <c r="F242">
        <v>55</v>
      </c>
      <c r="G242">
        <v>0</v>
      </c>
      <c r="H242">
        <v>0</v>
      </c>
      <c r="I242">
        <v>112377</v>
      </c>
      <c r="J242">
        <v>27.720800000000001</v>
      </c>
      <c r="L242" t="s">
        <v>23</v>
      </c>
      <c r="M242">
        <f t="shared" si="23"/>
        <v>0</v>
      </c>
      <c r="N242">
        <f t="shared" si="24"/>
        <v>0</v>
      </c>
      <c r="P242" t="str">
        <f t="shared" si="30"/>
        <v/>
      </c>
      <c r="Q242">
        <f t="shared" si="26"/>
        <v>45</v>
      </c>
    </row>
    <row r="243" spans="1:17" x14ac:dyDescent="0.35">
      <c r="A243">
        <v>1133</v>
      </c>
      <c r="B243">
        <v>1</v>
      </c>
      <c r="C243">
        <v>2</v>
      </c>
      <c r="D243" t="s">
        <v>365</v>
      </c>
      <c r="E243" t="s">
        <v>14</v>
      </c>
      <c r="F243">
        <v>45</v>
      </c>
      <c r="G243">
        <v>0</v>
      </c>
      <c r="H243">
        <v>2</v>
      </c>
      <c r="I243">
        <v>237789</v>
      </c>
      <c r="J243">
        <v>30</v>
      </c>
      <c r="L243" t="s">
        <v>15</v>
      </c>
      <c r="M243">
        <f t="shared" si="23"/>
        <v>0</v>
      </c>
      <c r="N243">
        <f t="shared" si="24"/>
        <v>1</v>
      </c>
      <c r="P243" t="str">
        <f t="shared" si="30"/>
        <v/>
      </c>
      <c r="Q243" t="str">
        <f t="shared" si="26"/>
        <v/>
      </c>
    </row>
    <row r="244" spans="1:17" x14ac:dyDescent="0.35">
      <c r="A244">
        <v>1134</v>
      </c>
      <c r="B244">
        <v>0</v>
      </c>
      <c r="C244">
        <v>1</v>
      </c>
      <c r="D244" t="s">
        <v>366</v>
      </c>
      <c r="E244" t="s">
        <v>11</v>
      </c>
      <c r="F244">
        <v>45</v>
      </c>
      <c r="G244">
        <v>1</v>
      </c>
      <c r="H244">
        <v>1</v>
      </c>
      <c r="I244">
        <v>16966</v>
      </c>
      <c r="J244">
        <v>134.5</v>
      </c>
      <c r="K244" t="s">
        <v>299</v>
      </c>
      <c r="L244" t="s">
        <v>23</v>
      </c>
      <c r="M244">
        <f t="shared" si="23"/>
        <v>1</v>
      </c>
      <c r="N244">
        <f t="shared" si="24"/>
        <v>1</v>
      </c>
      <c r="P244">
        <f t="shared" si="30"/>
        <v>45</v>
      </c>
      <c r="Q244" t="str">
        <f t="shared" si="26"/>
        <v/>
      </c>
    </row>
    <row r="245" spans="1:17" x14ac:dyDescent="0.35">
      <c r="A245">
        <v>1135</v>
      </c>
      <c r="B245">
        <v>0</v>
      </c>
      <c r="C245">
        <v>3</v>
      </c>
      <c r="D245" t="s">
        <v>367</v>
      </c>
      <c r="E245" t="s">
        <v>11</v>
      </c>
      <c r="G245">
        <v>0</v>
      </c>
      <c r="H245">
        <v>0</v>
      </c>
      <c r="I245">
        <v>3470</v>
      </c>
      <c r="J245">
        <v>7.8875000000000002</v>
      </c>
      <c r="L245" t="s">
        <v>15</v>
      </c>
      <c r="M245">
        <f t="shared" si="23"/>
        <v>1</v>
      </c>
      <c r="N245">
        <f t="shared" si="24"/>
        <v>1</v>
      </c>
      <c r="Q245" t="str">
        <f t="shared" si="26"/>
        <v/>
      </c>
    </row>
    <row r="246" spans="1:17" x14ac:dyDescent="0.35">
      <c r="A246">
        <v>1136</v>
      </c>
      <c r="B246">
        <v>0</v>
      </c>
      <c r="C246">
        <v>3</v>
      </c>
      <c r="D246" t="s">
        <v>368</v>
      </c>
      <c r="E246" t="s">
        <v>11</v>
      </c>
      <c r="G246">
        <v>1</v>
      </c>
      <c r="H246">
        <v>2</v>
      </c>
      <c r="I246" t="s">
        <v>67</v>
      </c>
      <c r="J246">
        <v>23.45</v>
      </c>
      <c r="L246" t="s">
        <v>15</v>
      </c>
      <c r="M246">
        <f t="shared" si="23"/>
        <v>1</v>
      </c>
      <c r="N246">
        <f t="shared" si="24"/>
        <v>1</v>
      </c>
      <c r="Q246" t="str">
        <f t="shared" si="26"/>
        <v/>
      </c>
    </row>
    <row r="247" spans="1:17" x14ac:dyDescent="0.35">
      <c r="A247">
        <v>1137</v>
      </c>
      <c r="B247">
        <v>0</v>
      </c>
      <c r="C247">
        <v>1</v>
      </c>
      <c r="D247" t="s">
        <v>369</v>
      </c>
      <c r="E247" t="s">
        <v>11</v>
      </c>
      <c r="F247">
        <v>41</v>
      </c>
      <c r="G247">
        <v>1</v>
      </c>
      <c r="H247">
        <v>0</v>
      </c>
      <c r="I247">
        <v>17464</v>
      </c>
      <c r="J247">
        <v>51.862499999999997</v>
      </c>
      <c r="K247" t="s">
        <v>370</v>
      </c>
      <c r="L247" t="s">
        <v>15</v>
      </c>
      <c r="M247">
        <f t="shared" si="23"/>
        <v>1</v>
      </c>
      <c r="N247">
        <f t="shared" si="24"/>
        <v>0</v>
      </c>
      <c r="P247">
        <f t="shared" ref="P247:P256" si="31">IF(E247="male",F247,"")</f>
        <v>41</v>
      </c>
      <c r="Q247">
        <f t="shared" si="26"/>
        <v>22</v>
      </c>
    </row>
    <row r="248" spans="1:17" x14ac:dyDescent="0.35">
      <c r="A248">
        <v>1138</v>
      </c>
      <c r="B248">
        <v>1</v>
      </c>
      <c r="C248">
        <v>2</v>
      </c>
      <c r="D248" t="s">
        <v>371</v>
      </c>
      <c r="E248" t="s">
        <v>14</v>
      </c>
      <c r="F248">
        <v>22</v>
      </c>
      <c r="G248">
        <v>0</v>
      </c>
      <c r="H248">
        <v>0</v>
      </c>
      <c r="I248" t="s">
        <v>115</v>
      </c>
      <c r="J248">
        <v>21</v>
      </c>
      <c r="L248" t="s">
        <v>15</v>
      </c>
      <c r="M248">
        <f t="shared" si="23"/>
        <v>0</v>
      </c>
      <c r="N248">
        <f t="shared" si="24"/>
        <v>1</v>
      </c>
      <c r="P248" t="str">
        <f t="shared" si="31"/>
        <v/>
      </c>
      <c r="Q248" t="str">
        <f t="shared" si="26"/>
        <v/>
      </c>
    </row>
    <row r="249" spans="1:17" x14ac:dyDescent="0.35">
      <c r="A249">
        <v>1139</v>
      </c>
      <c r="B249">
        <v>0</v>
      </c>
      <c r="C249">
        <v>2</v>
      </c>
      <c r="D249" t="s">
        <v>372</v>
      </c>
      <c r="E249" t="s">
        <v>11</v>
      </c>
      <c r="F249">
        <v>42</v>
      </c>
      <c r="G249">
        <v>1</v>
      </c>
      <c r="H249">
        <v>1</v>
      </c>
      <c r="I249">
        <v>28220</v>
      </c>
      <c r="J249">
        <v>32.5</v>
      </c>
      <c r="L249" t="s">
        <v>15</v>
      </c>
      <c r="M249">
        <f t="shared" si="23"/>
        <v>1</v>
      </c>
      <c r="N249">
        <f t="shared" si="24"/>
        <v>0</v>
      </c>
      <c r="P249">
        <f t="shared" si="31"/>
        <v>42</v>
      </c>
      <c r="Q249">
        <f t="shared" si="26"/>
        <v>29</v>
      </c>
    </row>
    <row r="250" spans="1:17" x14ac:dyDescent="0.35">
      <c r="A250">
        <v>1140</v>
      </c>
      <c r="B250">
        <v>1</v>
      </c>
      <c r="C250">
        <v>2</v>
      </c>
      <c r="D250" t="s">
        <v>373</v>
      </c>
      <c r="E250" t="s">
        <v>14</v>
      </c>
      <c r="F250">
        <v>29</v>
      </c>
      <c r="G250">
        <v>1</v>
      </c>
      <c r="H250">
        <v>0</v>
      </c>
      <c r="I250">
        <v>26707</v>
      </c>
      <c r="J250">
        <v>26</v>
      </c>
      <c r="L250" t="s">
        <v>15</v>
      </c>
      <c r="M250">
        <f t="shared" si="23"/>
        <v>0</v>
      </c>
      <c r="N250">
        <f t="shared" si="24"/>
        <v>0</v>
      </c>
      <c r="P250" t="str">
        <f t="shared" si="31"/>
        <v/>
      </c>
      <c r="Q250">
        <f t="shared" si="26"/>
        <v>0</v>
      </c>
    </row>
    <row r="251" spans="1:17" x14ac:dyDescent="0.35">
      <c r="A251">
        <v>1141</v>
      </c>
      <c r="B251">
        <v>1</v>
      </c>
      <c r="C251">
        <v>3</v>
      </c>
      <c r="D251" t="s">
        <v>374</v>
      </c>
      <c r="E251" t="s">
        <v>14</v>
      </c>
      <c r="G251">
        <v>1</v>
      </c>
      <c r="H251">
        <v>0</v>
      </c>
      <c r="I251">
        <v>2660</v>
      </c>
      <c r="J251">
        <v>14.4542</v>
      </c>
      <c r="L251" t="s">
        <v>23</v>
      </c>
      <c r="M251">
        <f t="shared" si="23"/>
        <v>0</v>
      </c>
      <c r="N251">
        <f t="shared" si="24"/>
        <v>0</v>
      </c>
      <c r="P251" t="str">
        <f t="shared" si="31"/>
        <v/>
      </c>
      <c r="Q251">
        <f t="shared" si="26"/>
        <v>0.92</v>
      </c>
    </row>
    <row r="252" spans="1:17" x14ac:dyDescent="0.35">
      <c r="A252">
        <v>1142</v>
      </c>
      <c r="B252">
        <v>1</v>
      </c>
      <c r="C252">
        <v>2</v>
      </c>
      <c r="D252" t="s">
        <v>375</v>
      </c>
      <c r="E252" t="s">
        <v>14</v>
      </c>
      <c r="F252">
        <v>0.92</v>
      </c>
      <c r="G252">
        <v>1</v>
      </c>
      <c r="H252">
        <v>2</v>
      </c>
      <c r="I252" t="s">
        <v>376</v>
      </c>
      <c r="J252">
        <v>27.75</v>
      </c>
      <c r="L252" t="s">
        <v>15</v>
      </c>
      <c r="M252">
        <f t="shared" si="23"/>
        <v>0</v>
      </c>
      <c r="N252">
        <f t="shared" si="24"/>
        <v>1</v>
      </c>
      <c r="P252" t="str">
        <f t="shared" si="31"/>
        <v/>
      </c>
      <c r="Q252" t="str">
        <f t="shared" si="26"/>
        <v/>
      </c>
    </row>
    <row r="253" spans="1:17" x14ac:dyDescent="0.35">
      <c r="A253">
        <v>1143</v>
      </c>
      <c r="B253">
        <v>0</v>
      </c>
      <c r="C253">
        <v>3</v>
      </c>
      <c r="D253" t="s">
        <v>377</v>
      </c>
      <c r="E253" t="s">
        <v>11</v>
      </c>
      <c r="F253">
        <v>20</v>
      </c>
      <c r="G253">
        <v>0</v>
      </c>
      <c r="H253">
        <v>0</v>
      </c>
      <c r="I253" t="s">
        <v>378</v>
      </c>
      <c r="J253">
        <v>7.9249999999999998</v>
      </c>
      <c r="L253" t="s">
        <v>15</v>
      </c>
      <c r="M253">
        <f t="shared" si="23"/>
        <v>1</v>
      </c>
      <c r="N253">
        <f t="shared" si="24"/>
        <v>1</v>
      </c>
      <c r="P253">
        <f t="shared" si="31"/>
        <v>20</v>
      </c>
      <c r="Q253" t="str">
        <f t="shared" si="26"/>
        <v/>
      </c>
    </row>
    <row r="254" spans="1:17" x14ac:dyDescent="0.35">
      <c r="A254">
        <v>1144</v>
      </c>
      <c r="B254">
        <v>0</v>
      </c>
      <c r="C254">
        <v>1</v>
      </c>
      <c r="D254" t="s">
        <v>379</v>
      </c>
      <c r="E254" t="s">
        <v>11</v>
      </c>
      <c r="F254">
        <v>27</v>
      </c>
      <c r="G254">
        <v>1</v>
      </c>
      <c r="H254">
        <v>0</v>
      </c>
      <c r="I254">
        <v>13508</v>
      </c>
      <c r="J254">
        <v>136.7792</v>
      </c>
      <c r="K254" t="s">
        <v>380</v>
      </c>
      <c r="L254" t="s">
        <v>23</v>
      </c>
      <c r="M254">
        <f t="shared" si="23"/>
        <v>1</v>
      </c>
      <c r="N254">
        <f t="shared" si="24"/>
        <v>1</v>
      </c>
      <c r="P254">
        <f t="shared" si="31"/>
        <v>27</v>
      </c>
      <c r="Q254" t="str">
        <f t="shared" si="26"/>
        <v/>
      </c>
    </row>
    <row r="255" spans="1:17" x14ac:dyDescent="0.35">
      <c r="A255">
        <v>1145</v>
      </c>
      <c r="B255">
        <v>0</v>
      </c>
      <c r="C255">
        <v>3</v>
      </c>
      <c r="D255" t="s">
        <v>381</v>
      </c>
      <c r="E255" t="s">
        <v>11</v>
      </c>
      <c r="F255">
        <v>24</v>
      </c>
      <c r="G255">
        <v>0</v>
      </c>
      <c r="H255">
        <v>0</v>
      </c>
      <c r="I255">
        <v>7266</v>
      </c>
      <c r="J255">
        <v>9.3249999999999993</v>
      </c>
      <c r="L255" t="s">
        <v>15</v>
      </c>
      <c r="M255">
        <f t="shared" si="23"/>
        <v>1</v>
      </c>
      <c r="N255">
        <f t="shared" si="24"/>
        <v>1</v>
      </c>
      <c r="P255">
        <f t="shared" si="31"/>
        <v>24</v>
      </c>
      <c r="Q255" t="str">
        <f t="shared" si="26"/>
        <v/>
      </c>
    </row>
    <row r="256" spans="1:17" x14ac:dyDescent="0.35">
      <c r="A256">
        <v>1146</v>
      </c>
      <c r="B256">
        <v>0</v>
      </c>
      <c r="C256">
        <v>3</v>
      </c>
      <c r="D256" t="s">
        <v>382</v>
      </c>
      <c r="E256" t="s">
        <v>11</v>
      </c>
      <c r="F256">
        <v>32.5</v>
      </c>
      <c r="G256">
        <v>0</v>
      </c>
      <c r="H256">
        <v>0</v>
      </c>
      <c r="I256">
        <v>345775</v>
      </c>
      <c r="J256">
        <v>9.5</v>
      </c>
      <c r="L256" t="s">
        <v>15</v>
      </c>
      <c r="M256">
        <f t="shared" si="23"/>
        <v>1</v>
      </c>
      <c r="N256">
        <f t="shared" si="24"/>
        <v>1</v>
      </c>
      <c r="P256">
        <f t="shared" si="31"/>
        <v>32.5</v>
      </c>
      <c r="Q256" t="str">
        <f t="shared" si="26"/>
        <v/>
      </c>
    </row>
    <row r="257" spans="1:17" x14ac:dyDescent="0.35">
      <c r="A257">
        <v>1147</v>
      </c>
      <c r="B257">
        <v>0</v>
      </c>
      <c r="C257">
        <v>3</v>
      </c>
      <c r="D257" t="s">
        <v>383</v>
      </c>
      <c r="E257" t="s">
        <v>11</v>
      </c>
      <c r="G257">
        <v>0</v>
      </c>
      <c r="H257">
        <v>0</v>
      </c>
      <c r="I257" t="s">
        <v>384</v>
      </c>
      <c r="J257">
        <v>7.55</v>
      </c>
      <c r="L257" t="s">
        <v>15</v>
      </c>
      <c r="M257">
        <f t="shared" si="23"/>
        <v>1</v>
      </c>
      <c r="N257">
        <f t="shared" si="24"/>
        <v>1</v>
      </c>
      <c r="Q257" t="str">
        <f t="shared" si="26"/>
        <v/>
      </c>
    </row>
    <row r="258" spans="1:17" x14ac:dyDescent="0.35">
      <c r="A258">
        <v>1148</v>
      </c>
      <c r="B258">
        <v>0</v>
      </c>
      <c r="C258">
        <v>3</v>
      </c>
      <c r="D258" t="s">
        <v>385</v>
      </c>
      <c r="E258" t="s">
        <v>11</v>
      </c>
      <c r="G258">
        <v>0</v>
      </c>
      <c r="H258">
        <v>0</v>
      </c>
      <c r="I258" t="s">
        <v>386</v>
      </c>
      <c r="J258">
        <v>7.75</v>
      </c>
      <c r="L258" t="s">
        <v>12</v>
      </c>
      <c r="M258">
        <f t="shared" si="23"/>
        <v>1</v>
      </c>
      <c r="N258">
        <f t="shared" si="24"/>
        <v>1</v>
      </c>
      <c r="Q258" t="str">
        <f t="shared" si="26"/>
        <v/>
      </c>
    </row>
    <row r="259" spans="1:17" x14ac:dyDescent="0.35">
      <c r="A259">
        <v>1149</v>
      </c>
      <c r="B259">
        <v>0</v>
      </c>
      <c r="C259">
        <v>3</v>
      </c>
      <c r="D259" t="s">
        <v>387</v>
      </c>
      <c r="E259" t="s">
        <v>11</v>
      </c>
      <c r="F259">
        <v>28</v>
      </c>
      <c r="G259">
        <v>0</v>
      </c>
      <c r="H259">
        <v>0</v>
      </c>
      <c r="I259">
        <v>363611</v>
      </c>
      <c r="J259">
        <v>8.0500000000000007</v>
      </c>
      <c r="L259" t="s">
        <v>15</v>
      </c>
      <c r="M259">
        <f t="shared" ref="M259:M322" si="32">IF(E259="male",1,0)</f>
        <v>1</v>
      </c>
      <c r="N259">
        <f t="shared" ref="N259:N322" si="33">IF(E260="female",0,1)</f>
        <v>0</v>
      </c>
      <c r="P259">
        <f t="shared" ref="P259:P266" si="34">IF(E259="male",F259,"")</f>
        <v>28</v>
      </c>
      <c r="Q259">
        <f t="shared" ref="Q259:Q322" si="35">IF(E260="female",F260,"")</f>
        <v>19</v>
      </c>
    </row>
    <row r="260" spans="1:17" x14ac:dyDescent="0.35">
      <c r="A260">
        <v>1150</v>
      </c>
      <c r="B260">
        <v>1</v>
      </c>
      <c r="C260">
        <v>2</v>
      </c>
      <c r="D260" t="s">
        <v>388</v>
      </c>
      <c r="E260" t="s">
        <v>14</v>
      </c>
      <c r="F260">
        <v>19</v>
      </c>
      <c r="G260">
        <v>0</v>
      </c>
      <c r="H260">
        <v>0</v>
      </c>
      <c r="I260">
        <v>28404</v>
      </c>
      <c r="J260">
        <v>13</v>
      </c>
      <c r="L260" t="s">
        <v>15</v>
      </c>
      <c r="M260">
        <f t="shared" si="32"/>
        <v>0</v>
      </c>
      <c r="N260">
        <f t="shared" si="33"/>
        <v>1</v>
      </c>
      <c r="P260" t="str">
        <f t="shared" si="34"/>
        <v/>
      </c>
      <c r="Q260" t="str">
        <f t="shared" si="35"/>
        <v/>
      </c>
    </row>
    <row r="261" spans="1:17" x14ac:dyDescent="0.35">
      <c r="A261">
        <v>1151</v>
      </c>
      <c r="B261">
        <v>0</v>
      </c>
      <c r="C261">
        <v>3</v>
      </c>
      <c r="D261" t="s">
        <v>389</v>
      </c>
      <c r="E261" t="s">
        <v>11</v>
      </c>
      <c r="F261">
        <v>21</v>
      </c>
      <c r="G261">
        <v>0</v>
      </c>
      <c r="H261">
        <v>0</v>
      </c>
      <c r="I261">
        <v>345501</v>
      </c>
      <c r="J261">
        <v>7.7750000000000004</v>
      </c>
      <c r="L261" t="s">
        <v>15</v>
      </c>
      <c r="M261">
        <f t="shared" si="32"/>
        <v>1</v>
      </c>
      <c r="N261">
        <f t="shared" si="33"/>
        <v>1</v>
      </c>
      <c r="P261">
        <f t="shared" si="34"/>
        <v>21</v>
      </c>
      <c r="Q261" t="str">
        <f t="shared" si="35"/>
        <v/>
      </c>
    </row>
    <row r="262" spans="1:17" x14ac:dyDescent="0.35">
      <c r="A262">
        <v>1152</v>
      </c>
      <c r="B262">
        <v>0</v>
      </c>
      <c r="C262">
        <v>3</v>
      </c>
      <c r="D262" t="s">
        <v>390</v>
      </c>
      <c r="E262" t="s">
        <v>11</v>
      </c>
      <c r="F262">
        <v>36.5</v>
      </c>
      <c r="G262">
        <v>1</v>
      </c>
      <c r="H262">
        <v>0</v>
      </c>
      <c r="I262">
        <v>345572</v>
      </c>
      <c r="J262">
        <v>17.399999999999999</v>
      </c>
      <c r="L262" t="s">
        <v>15</v>
      </c>
      <c r="M262">
        <f t="shared" si="32"/>
        <v>1</v>
      </c>
      <c r="N262">
        <f t="shared" si="33"/>
        <v>1</v>
      </c>
      <c r="P262">
        <f t="shared" si="34"/>
        <v>36.5</v>
      </c>
      <c r="Q262" t="str">
        <f t="shared" si="35"/>
        <v/>
      </c>
    </row>
    <row r="263" spans="1:17" x14ac:dyDescent="0.35">
      <c r="A263">
        <v>1153</v>
      </c>
      <c r="B263">
        <v>0</v>
      </c>
      <c r="C263">
        <v>3</v>
      </c>
      <c r="D263" t="s">
        <v>391</v>
      </c>
      <c r="E263" t="s">
        <v>11</v>
      </c>
      <c r="F263">
        <v>21</v>
      </c>
      <c r="G263">
        <v>0</v>
      </c>
      <c r="H263">
        <v>0</v>
      </c>
      <c r="I263">
        <v>350410</v>
      </c>
      <c r="J263">
        <v>7.8541999999999996</v>
      </c>
      <c r="L263" t="s">
        <v>15</v>
      </c>
      <c r="M263">
        <f t="shared" si="32"/>
        <v>1</v>
      </c>
      <c r="N263">
        <f t="shared" si="33"/>
        <v>0</v>
      </c>
      <c r="P263">
        <f t="shared" si="34"/>
        <v>21</v>
      </c>
      <c r="Q263">
        <f t="shared" si="35"/>
        <v>29</v>
      </c>
    </row>
    <row r="264" spans="1:17" x14ac:dyDescent="0.35">
      <c r="A264">
        <v>1154</v>
      </c>
      <c r="B264">
        <v>1</v>
      </c>
      <c r="C264">
        <v>2</v>
      </c>
      <c r="D264" t="s">
        <v>392</v>
      </c>
      <c r="E264" t="s">
        <v>14</v>
      </c>
      <c r="F264">
        <v>29</v>
      </c>
      <c r="G264">
        <v>0</v>
      </c>
      <c r="H264">
        <v>2</v>
      </c>
      <c r="I264">
        <v>29103</v>
      </c>
      <c r="J264">
        <v>23</v>
      </c>
      <c r="L264" t="s">
        <v>15</v>
      </c>
      <c r="M264">
        <f t="shared" si="32"/>
        <v>0</v>
      </c>
      <c r="N264">
        <f t="shared" si="33"/>
        <v>0</v>
      </c>
      <c r="P264" t="str">
        <f t="shared" si="34"/>
        <v/>
      </c>
      <c r="Q264">
        <f t="shared" si="35"/>
        <v>1</v>
      </c>
    </row>
    <row r="265" spans="1:17" x14ac:dyDescent="0.35">
      <c r="A265">
        <v>1155</v>
      </c>
      <c r="B265">
        <v>1</v>
      </c>
      <c r="C265">
        <v>3</v>
      </c>
      <c r="D265" t="s">
        <v>393</v>
      </c>
      <c r="E265" t="s">
        <v>14</v>
      </c>
      <c r="F265">
        <v>1</v>
      </c>
      <c r="G265">
        <v>1</v>
      </c>
      <c r="H265">
        <v>1</v>
      </c>
      <c r="I265">
        <v>350405</v>
      </c>
      <c r="J265">
        <v>12.183299999999999</v>
      </c>
      <c r="L265" t="s">
        <v>15</v>
      </c>
      <c r="M265">
        <f t="shared" si="32"/>
        <v>0</v>
      </c>
      <c r="N265">
        <f t="shared" si="33"/>
        <v>1</v>
      </c>
      <c r="P265" t="str">
        <f t="shared" si="34"/>
        <v/>
      </c>
      <c r="Q265" t="str">
        <f t="shared" si="35"/>
        <v/>
      </c>
    </row>
    <row r="266" spans="1:17" x14ac:dyDescent="0.35">
      <c r="A266">
        <v>1156</v>
      </c>
      <c r="B266">
        <v>0</v>
      </c>
      <c r="C266">
        <v>2</v>
      </c>
      <c r="D266" t="s">
        <v>394</v>
      </c>
      <c r="E266" t="s">
        <v>11</v>
      </c>
      <c r="F266">
        <v>30</v>
      </c>
      <c r="G266">
        <v>0</v>
      </c>
      <c r="H266">
        <v>0</v>
      </c>
      <c r="I266" t="s">
        <v>395</v>
      </c>
      <c r="J266">
        <v>12.737500000000001</v>
      </c>
      <c r="L266" t="s">
        <v>23</v>
      </c>
      <c r="M266">
        <f t="shared" si="32"/>
        <v>1</v>
      </c>
      <c r="N266">
        <f t="shared" si="33"/>
        <v>1</v>
      </c>
      <c r="P266">
        <f t="shared" si="34"/>
        <v>30</v>
      </c>
      <c r="Q266" t="str">
        <f t="shared" si="35"/>
        <v/>
      </c>
    </row>
    <row r="267" spans="1:17" x14ac:dyDescent="0.35">
      <c r="A267">
        <v>1157</v>
      </c>
      <c r="B267">
        <v>0</v>
      </c>
      <c r="C267">
        <v>3</v>
      </c>
      <c r="D267" t="s">
        <v>396</v>
      </c>
      <c r="E267" t="s">
        <v>11</v>
      </c>
      <c r="G267">
        <v>0</v>
      </c>
      <c r="H267">
        <v>0</v>
      </c>
      <c r="I267">
        <v>349235</v>
      </c>
      <c r="J267">
        <v>7.8958000000000004</v>
      </c>
      <c r="L267" t="s">
        <v>15</v>
      </c>
      <c r="M267">
        <f t="shared" si="32"/>
        <v>1</v>
      </c>
      <c r="N267">
        <f t="shared" si="33"/>
        <v>1</v>
      </c>
      <c r="Q267" t="str">
        <f t="shared" si="35"/>
        <v/>
      </c>
    </row>
    <row r="268" spans="1:17" x14ac:dyDescent="0.35">
      <c r="A268">
        <v>1158</v>
      </c>
      <c r="B268">
        <v>0</v>
      </c>
      <c r="C268">
        <v>1</v>
      </c>
      <c r="D268" t="s">
        <v>397</v>
      </c>
      <c r="E268" t="s">
        <v>11</v>
      </c>
      <c r="G268">
        <v>0</v>
      </c>
      <c r="H268">
        <v>0</v>
      </c>
      <c r="I268">
        <v>112051</v>
      </c>
      <c r="J268">
        <v>0</v>
      </c>
      <c r="L268" t="s">
        <v>15</v>
      </c>
      <c r="M268">
        <f t="shared" si="32"/>
        <v>1</v>
      </c>
      <c r="N268">
        <f t="shared" si="33"/>
        <v>1</v>
      </c>
      <c r="Q268" t="str">
        <f t="shared" si="35"/>
        <v/>
      </c>
    </row>
    <row r="269" spans="1:17" x14ac:dyDescent="0.35">
      <c r="A269">
        <v>1159</v>
      </c>
      <c r="B269">
        <v>0</v>
      </c>
      <c r="C269">
        <v>3</v>
      </c>
      <c r="D269" t="s">
        <v>398</v>
      </c>
      <c r="E269" t="s">
        <v>11</v>
      </c>
      <c r="G269">
        <v>0</v>
      </c>
      <c r="H269">
        <v>0</v>
      </c>
      <c r="I269" t="s">
        <v>399</v>
      </c>
      <c r="J269">
        <v>7.55</v>
      </c>
      <c r="L269" t="s">
        <v>15</v>
      </c>
      <c r="M269">
        <f t="shared" si="32"/>
        <v>1</v>
      </c>
      <c r="N269">
        <f t="shared" si="33"/>
        <v>0</v>
      </c>
      <c r="Q269">
        <f t="shared" si="35"/>
        <v>0</v>
      </c>
    </row>
    <row r="270" spans="1:17" x14ac:dyDescent="0.35">
      <c r="A270">
        <v>1160</v>
      </c>
      <c r="B270">
        <v>1</v>
      </c>
      <c r="C270">
        <v>3</v>
      </c>
      <c r="D270" t="s">
        <v>400</v>
      </c>
      <c r="E270" t="s">
        <v>14</v>
      </c>
      <c r="G270">
        <v>0</v>
      </c>
      <c r="H270">
        <v>0</v>
      </c>
      <c r="I270" t="s">
        <v>401</v>
      </c>
      <c r="J270">
        <v>8.0500000000000007</v>
      </c>
      <c r="L270" t="s">
        <v>15</v>
      </c>
      <c r="M270">
        <f t="shared" si="32"/>
        <v>0</v>
      </c>
      <c r="N270">
        <f t="shared" si="33"/>
        <v>1</v>
      </c>
      <c r="P270" t="str">
        <f>IF(E270="male",F270,"")</f>
        <v/>
      </c>
      <c r="Q270" t="str">
        <f t="shared" si="35"/>
        <v/>
      </c>
    </row>
    <row r="271" spans="1:17" x14ac:dyDescent="0.35">
      <c r="A271">
        <v>1161</v>
      </c>
      <c r="B271">
        <v>0</v>
      </c>
      <c r="C271">
        <v>3</v>
      </c>
      <c r="D271" t="s">
        <v>402</v>
      </c>
      <c r="E271" t="s">
        <v>11</v>
      </c>
      <c r="F271">
        <v>17</v>
      </c>
      <c r="G271">
        <v>0</v>
      </c>
      <c r="H271">
        <v>0</v>
      </c>
      <c r="I271">
        <v>315095</v>
      </c>
      <c r="J271">
        <v>8.6624999999999996</v>
      </c>
      <c r="L271" t="s">
        <v>15</v>
      </c>
      <c r="M271">
        <f t="shared" si="32"/>
        <v>1</v>
      </c>
      <c r="N271">
        <f t="shared" si="33"/>
        <v>1</v>
      </c>
      <c r="P271">
        <f>IF(E271="male",F271,"")</f>
        <v>17</v>
      </c>
      <c r="Q271" t="str">
        <f t="shared" si="35"/>
        <v/>
      </c>
    </row>
    <row r="272" spans="1:17" x14ac:dyDescent="0.35">
      <c r="A272">
        <v>1162</v>
      </c>
      <c r="B272">
        <v>0</v>
      </c>
      <c r="C272">
        <v>1</v>
      </c>
      <c r="D272" t="s">
        <v>403</v>
      </c>
      <c r="E272" t="s">
        <v>11</v>
      </c>
      <c r="F272">
        <v>46</v>
      </c>
      <c r="G272">
        <v>0</v>
      </c>
      <c r="H272">
        <v>0</v>
      </c>
      <c r="I272">
        <v>13050</v>
      </c>
      <c r="J272">
        <v>75.241699999999994</v>
      </c>
      <c r="K272" t="s">
        <v>190</v>
      </c>
      <c r="L272" t="s">
        <v>23</v>
      </c>
      <c r="M272">
        <f t="shared" si="32"/>
        <v>1</v>
      </c>
      <c r="N272">
        <f t="shared" si="33"/>
        <v>1</v>
      </c>
      <c r="P272">
        <f>IF(E272="male",F272,"")</f>
        <v>46</v>
      </c>
      <c r="Q272" t="str">
        <f t="shared" si="35"/>
        <v/>
      </c>
    </row>
    <row r="273" spans="1:17" x14ac:dyDescent="0.35">
      <c r="A273">
        <v>1163</v>
      </c>
      <c r="B273">
        <v>0</v>
      </c>
      <c r="C273">
        <v>3</v>
      </c>
      <c r="D273" t="s">
        <v>404</v>
      </c>
      <c r="E273" t="s">
        <v>11</v>
      </c>
      <c r="G273">
        <v>0</v>
      </c>
      <c r="H273">
        <v>0</v>
      </c>
      <c r="I273">
        <v>368573</v>
      </c>
      <c r="J273">
        <v>7.75</v>
      </c>
      <c r="L273" t="s">
        <v>12</v>
      </c>
      <c r="M273">
        <f t="shared" si="32"/>
        <v>1</v>
      </c>
      <c r="N273">
        <f t="shared" si="33"/>
        <v>0</v>
      </c>
      <c r="Q273">
        <f t="shared" si="35"/>
        <v>26</v>
      </c>
    </row>
    <row r="274" spans="1:17" x14ac:dyDescent="0.35">
      <c r="A274">
        <v>1164</v>
      </c>
      <c r="B274">
        <v>1</v>
      </c>
      <c r="C274">
        <v>1</v>
      </c>
      <c r="D274" t="s">
        <v>405</v>
      </c>
      <c r="E274" t="s">
        <v>14</v>
      </c>
      <c r="F274">
        <v>26</v>
      </c>
      <c r="G274">
        <v>1</v>
      </c>
      <c r="H274">
        <v>0</v>
      </c>
      <c r="I274">
        <v>13508</v>
      </c>
      <c r="J274">
        <v>136.7792</v>
      </c>
      <c r="K274" t="s">
        <v>380</v>
      </c>
      <c r="L274" t="s">
        <v>23</v>
      </c>
      <c r="M274">
        <f t="shared" si="32"/>
        <v>0</v>
      </c>
      <c r="N274">
        <f t="shared" si="33"/>
        <v>0</v>
      </c>
      <c r="P274" t="str">
        <f>IF(E274="male",F274,"")</f>
        <v/>
      </c>
      <c r="Q274">
        <f t="shared" si="35"/>
        <v>0</v>
      </c>
    </row>
    <row r="275" spans="1:17" x14ac:dyDescent="0.35">
      <c r="A275">
        <v>1165</v>
      </c>
      <c r="B275">
        <v>1</v>
      </c>
      <c r="C275">
        <v>3</v>
      </c>
      <c r="D275" t="s">
        <v>406</v>
      </c>
      <c r="E275" t="s">
        <v>14</v>
      </c>
      <c r="G275">
        <v>1</v>
      </c>
      <c r="H275">
        <v>0</v>
      </c>
      <c r="I275">
        <v>370371</v>
      </c>
      <c r="J275">
        <v>15.5</v>
      </c>
      <c r="L275" t="s">
        <v>12</v>
      </c>
      <c r="M275">
        <f t="shared" si="32"/>
        <v>0</v>
      </c>
      <c r="N275">
        <f t="shared" si="33"/>
        <v>1</v>
      </c>
      <c r="P275" t="str">
        <f>IF(E275="male",F275,"")</f>
        <v/>
      </c>
      <c r="Q275" t="str">
        <f t="shared" si="35"/>
        <v/>
      </c>
    </row>
    <row r="276" spans="1:17" x14ac:dyDescent="0.35">
      <c r="A276">
        <v>1166</v>
      </c>
      <c r="B276">
        <v>0</v>
      </c>
      <c r="C276">
        <v>3</v>
      </c>
      <c r="D276" t="s">
        <v>407</v>
      </c>
      <c r="E276" t="s">
        <v>11</v>
      </c>
      <c r="G276">
        <v>0</v>
      </c>
      <c r="H276">
        <v>0</v>
      </c>
      <c r="I276">
        <v>2676</v>
      </c>
      <c r="J276">
        <v>7.2249999999999996</v>
      </c>
      <c r="L276" t="s">
        <v>23</v>
      </c>
      <c r="M276">
        <f t="shared" si="32"/>
        <v>1</v>
      </c>
      <c r="N276">
        <f t="shared" si="33"/>
        <v>0</v>
      </c>
      <c r="Q276">
        <f t="shared" si="35"/>
        <v>20</v>
      </c>
    </row>
    <row r="277" spans="1:17" x14ac:dyDescent="0.35">
      <c r="A277">
        <v>1167</v>
      </c>
      <c r="B277">
        <v>1</v>
      </c>
      <c r="C277">
        <v>2</v>
      </c>
      <c r="D277" t="s">
        <v>408</v>
      </c>
      <c r="E277" t="s">
        <v>14</v>
      </c>
      <c r="F277">
        <v>20</v>
      </c>
      <c r="G277">
        <v>1</v>
      </c>
      <c r="H277">
        <v>0</v>
      </c>
      <c r="I277">
        <v>236853</v>
      </c>
      <c r="J277">
        <v>26</v>
      </c>
      <c r="L277" t="s">
        <v>15</v>
      </c>
      <c r="M277">
        <f t="shared" si="32"/>
        <v>0</v>
      </c>
      <c r="N277">
        <f t="shared" si="33"/>
        <v>1</v>
      </c>
      <c r="P277" t="str">
        <f>IF(E277="male",F277,"")</f>
        <v/>
      </c>
      <c r="Q277" t="str">
        <f t="shared" si="35"/>
        <v/>
      </c>
    </row>
    <row r="278" spans="1:17" x14ac:dyDescent="0.35">
      <c r="A278">
        <v>1168</v>
      </c>
      <c r="B278">
        <v>0</v>
      </c>
      <c r="C278">
        <v>2</v>
      </c>
      <c r="D278" t="s">
        <v>409</v>
      </c>
      <c r="E278" t="s">
        <v>11</v>
      </c>
      <c r="F278">
        <v>28</v>
      </c>
      <c r="G278">
        <v>0</v>
      </c>
      <c r="H278">
        <v>0</v>
      </c>
      <c r="I278" t="s">
        <v>410</v>
      </c>
      <c r="J278">
        <v>10.5</v>
      </c>
      <c r="L278" t="s">
        <v>15</v>
      </c>
      <c r="M278">
        <f t="shared" si="32"/>
        <v>1</v>
      </c>
      <c r="N278">
        <f t="shared" si="33"/>
        <v>1</v>
      </c>
      <c r="P278">
        <f t="shared" ref="P278:P282" si="36">IF(E278="male",F278,"")</f>
        <v>28</v>
      </c>
      <c r="Q278" t="str">
        <f t="shared" si="35"/>
        <v/>
      </c>
    </row>
    <row r="279" spans="1:17" x14ac:dyDescent="0.35">
      <c r="A279">
        <v>1169</v>
      </c>
      <c r="B279">
        <v>0</v>
      </c>
      <c r="C279">
        <v>2</v>
      </c>
      <c r="D279" t="s">
        <v>411</v>
      </c>
      <c r="E279" t="s">
        <v>11</v>
      </c>
      <c r="F279">
        <v>40</v>
      </c>
      <c r="G279">
        <v>1</v>
      </c>
      <c r="H279">
        <v>0</v>
      </c>
      <c r="I279">
        <v>2926</v>
      </c>
      <c r="J279">
        <v>26</v>
      </c>
      <c r="L279" t="s">
        <v>15</v>
      </c>
      <c r="M279">
        <f t="shared" si="32"/>
        <v>1</v>
      </c>
      <c r="N279">
        <f t="shared" si="33"/>
        <v>1</v>
      </c>
      <c r="P279">
        <f t="shared" si="36"/>
        <v>40</v>
      </c>
      <c r="Q279" t="str">
        <f t="shared" si="35"/>
        <v/>
      </c>
    </row>
    <row r="280" spans="1:17" x14ac:dyDescent="0.35">
      <c r="A280">
        <v>1170</v>
      </c>
      <c r="B280">
        <v>0</v>
      </c>
      <c r="C280">
        <v>2</v>
      </c>
      <c r="D280" t="s">
        <v>412</v>
      </c>
      <c r="E280" t="s">
        <v>11</v>
      </c>
      <c r="F280">
        <v>30</v>
      </c>
      <c r="G280">
        <v>1</v>
      </c>
      <c r="H280">
        <v>0</v>
      </c>
      <c r="I280" t="s">
        <v>413</v>
      </c>
      <c r="J280">
        <v>21</v>
      </c>
      <c r="L280" t="s">
        <v>15</v>
      </c>
      <c r="M280">
        <f t="shared" si="32"/>
        <v>1</v>
      </c>
      <c r="N280">
        <f t="shared" si="33"/>
        <v>1</v>
      </c>
      <c r="P280">
        <f t="shared" si="36"/>
        <v>30</v>
      </c>
      <c r="Q280" t="str">
        <f t="shared" si="35"/>
        <v/>
      </c>
    </row>
    <row r="281" spans="1:17" x14ac:dyDescent="0.35">
      <c r="A281">
        <v>1171</v>
      </c>
      <c r="B281">
        <v>0</v>
      </c>
      <c r="C281">
        <v>2</v>
      </c>
      <c r="D281" t="s">
        <v>414</v>
      </c>
      <c r="E281" t="s">
        <v>11</v>
      </c>
      <c r="F281">
        <v>22</v>
      </c>
      <c r="G281">
        <v>0</v>
      </c>
      <c r="H281">
        <v>0</v>
      </c>
      <c r="I281" t="s">
        <v>415</v>
      </c>
      <c r="J281">
        <v>10.5</v>
      </c>
      <c r="L281" t="s">
        <v>15</v>
      </c>
      <c r="M281">
        <f t="shared" si="32"/>
        <v>1</v>
      </c>
      <c r="N281">
        <f t="shared" si="33"/>
        <v>0</v>
      </c>
      <c r="P281">
        <f t="shared" si="36"/>
        <v>22</v>
      </c>
      <c r="Q281">
        <f t="shared" si="35"/>
        <v>23</v>
      </c>
    </row>
    <row r="282" spans="1:17" x14ac:dyDescent="0.35">
      <c r="A282">
        <v>1172</v>
      </c>
      <c r="B282">
        <v>1</v>
      </c>
      <c r="C282">
        <v>3</v>
      </c>
      <c r="D282" t="s">
        <v>416</v>
      </c>
      <c r="E282" t="s">
        <v>14</v>
      </c>
      <c r="F282">
        <v>23</v>
      </c>
      <c r="G282">
        <v>0</v>
      </c>
      <c r="H282">
        <v>0</v>
      </c>
      <c r="I282">
        <v>315085</v>
      </c>
      <c r="J282">
        <v>8.6624999999999996</v>
      </c>
      <c r="L282" t="s">
        <v>15</v>
      </c>
      <c r="M282">
        <f t="shared" si="32"/>
        <v>0</v>
      </c>
      <c r="N282">
        <f t="shared" si="33"/>
        <v>1</v>
      </c>
      <c r="P282" t="str">
        <f t="shared" si="36"/>
        <v/>
      </c>
      <c r="Q282" t="str">
        <f t="shared" si="35"/>
        <v/>
      </c>
    </row>
    <row r="283" spans="1:17" x14ac:dyDescent="0.35">
      <c r="A283">
        <v>1173</v>
      </c>
      <c r="B283">
        <v>0</v>
      </c>
      <c r="C283">
        <v>3</v>
      </c>
      <c r="D283" t="s">
        <v>417</v>
      </c>
      <c r="E283" t="s">
        <v>11</v>
      </c>
      <c r="F283">
        <v>0.75</v>
      </c>
      <c r="G283">
        <v>1</v>
      </c>
      <c r="H283">
        <v>1</v>
      </c>
      <c r="I283" t="s">
        <v>245</v>
      </c>
      <c r="J283">
        <v>13.775</v>
      </c>
      <c r="L283" t="s">
        <v>15</v>
      </c>
      <c r="M283">
        <f t="shared" si="32"/>
        <v>1</v>
      </c>
      <c r="N283">
        <f t="shared" si="33"/>
        <v>0</v>
      </c>
      <c r="P283">
        <f>IF(E283="male",F283,"")</f>
        <v>0.75</v>
      </c>
      <c r="Q283">
        <f t="shared" si="35"/>
        <v>0</v>
      </c>
    </row>
    <row r="284" spans="1:17" x14ac:dyDescent="0.35">
      <c r="A284">
        <v>1174</v>
      </c>
      <c r="B284">
        <v>1</v>
      </c>
      <c r="C284">
        <v>3</v>
      </c>
      <c r="D284" t="s">
        <v>418</v>
      </c>
      <c r="E284" t="s">
        <v>14</v>
      </c>
      <c r="G284">
        <v>0</v>
      </c>
      <c r="H284">
        <v>0</v>
      </c>
      <c r="I284">
        <v>364859</v>
      </c>
      <c r="J284">
        <v>7.75</v>
      </c>
      <c r="L284" t="s">
        <v>12</v>
      </c>
      <c r="M284">
        <f t="shared" si="32"/>
        <v>0</v>
      </c>
      <c r="N284">
        <f t="shared" si="33"/>
        <v>0</v>
      </c>
      <c r="P284" t="str">
        <f>IF(E284="male",F284,"")</f>
        <v/>
      </c>
      <c r="Q284">
        <f t="shared" si="35"/>
        <v>9</v>
      </c>
    </row>
    <row r="285" spans="1:17" x14ac:dyDescent="0.35">
      <c r="A285">
        <v>1175</v>
      </c>
      <c r="B285">
        <v>1</v>
      </c>
      <c r="C285">
        <v>3</v>
      </c>
      <c r="D285" t="s">
        <v>419</v>
      </c>
      <c r="E285" t="s">
        <v>14</v>
      </c>
      <c r="F285">
        <v>9</v>
      </c>
      <c r="G285">
        <v>1</v>
      </c>
      <c r="H285">
        <v>1</v>
      </c>
      <c r="I285">
        <v>2650</v>
      </c>
      <c r="J285">
        <v>15.245799999999999</v>
      </c>
      <c r="L285" t="s">
        <v>23</v>
      </c>
      <c r="M285">
        <f t="shared" si="32"/>
        <v>0</v>
      </c>
      <c r="N285">
        <f t="shared" si="33"/>
        <v>0</v>
      </c>
      <c r="P285" t="str">
        <f>IF(E285="male",F285,"")</f>
        <v/>
      </c>
      <c r="Q285">
        <f t="shared" si="35"/>
        <v>2</v>
      </c>
    </row>
    <row r="286" spans="1:17" x14ac:dyDescent="0.35">
      <c r="A286">
        <v>1176</v>
      </c>
      <c r="B286">
        <v>1</v>
      </c>
      <c r="C286">
        <v>3</v>
      </c>
      <c r="D286" t="s">
        <v>420</v>
      </c>
      <c r="E286" t="s">
        <v>14</v>
      </c>
      <c r="F286">
        <v>2</v>
      </c>
      <c r="G286">
        <v>1</v>
      </c>
      <c r="H286">
        <v>1</v>
      </c>
      <c r="I286">
        <v>370129</v>
      </c>
      <c r="J286">
        <v>20.212499999999999</v>
      </c>
      <c r="L286" t="s">
        <v>15</v>
      </c>
      <c r="M286">
        <f t="shared" si="32"/>
        <v>0</v>
      </c>
      <c r="N286">
        <f t="shared" si="33"/>
        <v>1</v>
      </c>
      <c r="P286" t="str">
        <f>IF(E286="male",F286,"")</f>
        <v/>
      </c>
      <c r="Q286" t="str">
        <f t="shared" si="35"/>
        <v/>
      </c>
    </row>
    <row r="287" spans="1:17" x14ac:dyDescent="0.35">
      <c r="A287">
        <v>1177</v>
      </c>
      <c r="B287">
        <v>0</v>
      </c>
      <c r="C287">
        <v>3</v>
      </c>
      <c r="D287" t="s">
        <v>421</v>
      </c>
      <c r="E287" t="s">
        <v>11</v>
      </c>
      <c r="F287">
        <v>36</v>
      </c>
      <c r="G287">
        <v>0</v>
      </c>
      <c r="H287">
        <v>0</v>
      </c>
      <c r="I287" t="s">
        <v>422</v>
      </c>
      <c r="J287">
        <v>7.25</v>
      </c>
      <c r="L287" t="s">
        <v>15</v>
      </c>
      <c r="M287">
        <f t="shared" si="32"/>
        <v>1</v>
      </c>
      <c r="N287">
        <f t="shared" si="33"/>
        <v>1</v>
      </c>
      <c r="P287">
        <f>IF(E287="male",F287,"")</f>
        <v>36</v>
      </c>
      <c r="Q287" t="str">
        <f t="shared" si="35"/>
        <v/>
      </c>
    </row>
    <row r="288" spans="1:17" x14ac:dyDescent="0.35">
      <c r="A288">
        <v>1178</v>
      </c>
      <c r="B288">
        <v>0</v>
      </c>
      <c r="C288">
        <v>3</v>
      </c>
      <c r="D288" t="s">
        <v>423</v>
      </c>
      <c r="E288" t="s">
        <v>11</v>
      </c>
      <c r="G288">
        <v>0</v>
      </c>
      <c r="H288">
        <v>0</v>
      </c>
      <c r="I288" t="s">
        <v>424</v>
      </c>
      <c r="J288">
        <v>7.25</v>
      </c>
      <c r="L288" t="s">
        <v>15</v>
      </c>
      <c r="M288">
        <f t="shared" si="32"/>
        <v>1</v>
      </c>
      <c r="N288">
        <f t="shared" si="33"/>
        <v>1</v>
      </c>
      <c r="Q288" t="str">
        <f t="shared" si="35"/>
        <v/>
      </c>
    </row>
    <row r="289" spans="1:17" x14ac:dyDescent="0.35">
      <c r="A289">
        <v>1179</v>
      </c>
      <c r="B289">
        <v>0</v>
      </c>
      <c r="C289">
        <v>1</v>
      </c>
      <c r="D289" t="s">
        <v>425</v>
      </c>
      <c r="E289" t="s">
        <v>11</v>
      </c>
      <c r="F289">
        <v>24</v>
      </c>
      <c r="G289">
        <v>1</v>
      </c>
      <c r="H289">
        <v>0</v>
      </c>
      <c r="I289">
        <v>21228</v>
      </c>
      <c r="J289">
        <v>82.2667</v>
      </c>
      <c r="K289" t="s">
        <v>29</v>
      </c>
      <c r="L289" t="s">
        <v>15</v>
      </c>
      <c r="M289">
        <f t="shared" si="32"/>
        <v>1</v>
      </c>
      <c r="N289">
        <f t="shared" si="33"/>
        <v>1</v>
      </c>
      <c r="P289">
        <f>IF(E289="male",F289,"")</f>
        <v>24</v>
      </c>
      <c r="Q289" t="str">
        <f t="shared" si="35"/>
        <v/>
      </c>
    </row>
    <row r="290" spans="1:17" x14ac:dyDescent="0.35">
      <c r="A290">
        <v>1180</v>
      </c>
      <c r="B290">
        <v>0</v>
      </c>
      <c r="C290">
        <v>3</v>
      </c>
      <c r="D290" t="s">
        <v>426</v>
      </c>
      <c r="E290" t="s">
        <v>11</v>
      </c>
      <c r="G290">
        <v>0</v>
      </c>
      <c r="H290">
        <v>0</v>
      </c>
      <c r="I290">
        <v>2655</v>
      </c>
      <c r="J290">
        <v>7.2291999999999996</v>
      </c>
      <c r="K290" t="s">
        <v>427</v>
      </c>
      <c r="L290" t="s">
        <v>23</v>
      </c>
      <c r="M290">
        <f t="shared" si="32"/>
        <v>1</v>
      </c>
      <c r="N290">
        <f t="shared" si="33"/>
        <v>1</v>
      </c>
      <c r="Q290" t="str">
        <f t="shared" si="35"/>
        <v/>
      </c>
    </row>
    <row r="291" spans="1:17" x14ac:dyDescent="0.35">
      <c r="A291">
        <v>1181</v>
      </c>
      <c r="B291">
        <v>0</v>
      </c>
      <c r="C291">
        <v>3</v>
      </c>
      <c r="D291" t="s">
        <v>428</v>
      </c>
      <c r="E291" t="s">
        <v>11</v>
      </c>
      <c r="G291">
        <v>0</v>
      </c>
      <c r="H291">
        <v>0</v>
      </c>
      <c r="I291" t="s">
        <v>429</v>
      </c>
      <c r="J291">
        <v>8.0500000000000007</v>
      </c>
      <c r="L291" t="s">
        <v>15</v>
      </c>
      <c r="M291">
        <f t="shared" si="32"/>
        <v>1</v>
      </c>
      <c r="N291">
        <f t="shared" si="33"/>
        <v>1</v>
      </c>
      <c r="Q291" t="str">
        <f t="shared" si="35"/>
        <v/>
      </c>
    </row>
    <row r="292" spans="1:17" x14ac:dyDescent="0.35">
      <c r="A292">
        <v>1182</v>
      </c>
      <c r="B292">
        <v>0</v>
      </c>
      <c r="C292">
        <v>1</v>
      </c>
      <c r="D292" t="s">
        <v>430</v>
      </c>
      <c r="E292" t="s">
        <v>11</v>
      </c>
      <c r="G292">
        <v>0</v>
      </c>
      <c r="H292">
        <v>0</v>
      </c>
      <c r="I292" t="s">
        <v>431</v>
      </c>
      <c r="J292">
        <v>39.6</v>
      </c>
      <c r="L292" t="s">
        <v>15</v>
      </c>
      <c r="M292">
        <f t="shared" si="32"/>
        <v>1</v>
      </c>
      <c r="N292">
        <f t="shared" si="33"/>
        <v>0</v>
      </c>
      <c r="Q292">
        <f t="shared" si="35"/>
        <v>30</v>
      </c>
    </row>
    <row r="293" spans="1:17" x14ac:dyDescent="0.35">
      <c r="A293">
        <v>1183</v>
      </c>
      <c r="B293">
        <v>1</v>
      </c>
      <c r="C293">
        <v>3</v>
      </c>
      <c r="D293" t="s">
        <v>432</v>
      </c>
      <c r="E293" t="s">
        <v>14</v>
      </c>
      <c r="F293">
        <v>30</v>
      </c>
      <c r="G293">
        <v>0</v>
      </c>
      <c r="H293">
        <v>0</v>
      </c>
      <c r="I293">
        <v>382650</v>
      </c>
      <c r="J293">
        <v>6.95</v>
      </c>
      <c r="L293" t="s">
        <v>12</v>
      </c>
      <c r="M293">
        <f t="shared" si="32"/>
        <v>0</v>
      </c>
      <c r="N293">
        <f t="shared" si="33"/>
        <v>1</v>
      </c>
      <c r="P293" t="str">
        <f>IF(E293="male",F293,"")</f>
        <v/>
      </c>
      <c r="Q293" t="str">
        <f t="shared" si="35"/>
        <v/>
      </c>
    </row>
    <row r="294" spans="1:17" x14ac:dyDescent="0.35">
      <c r="A294">
        <v>1184</v>
      </c>
      <c r="B294">
        <v>0</v>
      </c>
      <c r="C294">
        <v>3</v>
      </c>
      <c r="D294" t="s">
        <v>433</v>
      </c>
      <c r="E294" t="s">
        <v>11</v>
      </c>
      <c r="G294">
        <v>0</v>
      </c>
      <c r="H294">
        <v>0</v>
      </c>
      <c r="I294">
        <v>2652</v>
      </c>
      <c r="J294">
        <v>7.2291999999999996</v>
      </c>
      <c r="L294" t="s">
        <v>23</v>
      </c>
      <c r="M294">
        <f t="shared" si="32"/>
        <v>1</v>
      </c>
      <c r="N294">
        <f t="shared" si="33"/>
        <v>1</v>
      </c>
      <c r="Q294" t="str">
        <f t="shared" si="35"/>
        <v/>
      </c>
    </row>
    <row r="295" spans="1:17" x14ac:dyDescent="0.35">
      <c r="A295">
        <v>1185</v>
      </c>
      <c r="B295">
        <v>0</v>
      </c>
      <c r="C295">
        <v>1</v>
      </c>
      <c r="D295" t="s">
        <v>434</v>
      </c>
      <c r="E295" t="s">
        <v>11</v>
      </c>
      <c r="F295">
        <v>53</v>
      </c>
      <c r="G295">
        <v>1</v>
      </c>
      <c r="H295">
        <v>1</v>
      </c>
      <c r="I295">
        <v>33638</v>
      </c>
      <c r="J295">
        <v>81.8583</v>
      </c>
      <c r="K295" t="s">
        <v>435</v>
      </c>
      <c r="L295" t="s">
        <v>15</v>
      </c>
      <c r="M295">
        <f t="shared" si="32"/>
        <v>1</v>
      </c>
      <c r="N295">
        <f t="shared" si="33"/>
        <v>1</v>
      </c>
      <c r="P295">
        <f>IF(E295="male",F295,"")</f>
        <v>53</v>
      </c>
      <c r="Q295" t="str">
        <f t="shared" si="35"/>
        <v/>
      </c>
    </row>
    <row r="296" spans="1:17" x14ac:dyDescent="0.35">
      <c r="A296">
        <v>1186</v>
      </c>
      <c r="B296">
        <v>0</v>
      </c>
      <c r="C296">
        <v>3</v>
      </c>
      <c r="D296" t="s">
        <v>436</v>
      </c>
      <c r="E296" t="s">
        <v>11</v>
      </c>
      <c r="F296">
        <v>36</v>
      </c>
      <c r="G296">
        <v>0</v>
      </c>
      <c r="H296">
        <v>0</v>
      </c>
      <c r="I296">
        <v>345771</v>
      </c>
      <c r="J296">
        <v>9.5</v>
      </c>
      <c r="L296" t="s">
        <v>15</v>
      </c>
      <c r="M296">
        <f t="shared" si="32"/>
        <v>1</v>
      </c>
      <c r="N296">
        <f t="shared" si="33"/>
        <v>1</v>
      </c>
      <c r="P296">
        <f>IF(E296="male",F296,"")</f>
        <v>36</v>
      </c>
      <c r="Q296" t="str">
        <f t="shared" si="35"/>
        <v/>
      </c>
    </row>
    <row r="297" spans="1:17" x14ac:dyDescent="0.35">
      <c r="A297">
        <v>1187</v>
      </c>
      <c r="B297">
        <v>0</v>
      </c>
      <c r="C297">
        <v>3</v>
      </c>
      <c r="D297" t="s">
        <v>437</v>
      </c>
      <c r="E297" t="s">
        <v>11</v>
      </c>
      <c r="F297">
        <v>26</v>
      </c>
      <c r="G297">
        <v>0</v>
      </c>
      <c r="H297">
        <v>0</v>
      </c>
      <c r="I297">
        <v>349202</v>
      </c>
      <c r="J297">
        <v>7.8958000000000004</v>
      </c>
      <c r="L297" t="s">
        <v>15</v>
      </c>
      <c r="M297">
        <f t="shared" si="32"/>
        <v>1</v>
      </c>
      <c r="N297">
        <f t="shared" si="33"/>
        <v>0</v>
      </c>
      <c r="P297">
        <f>IF(E297="male",F297,"")</f>
        <v>26</v>
      </c>
      <c r="Q297">
        <f t="shared" si="35"/>
        <v>1</v>
      </c>
    </row>
    <row r="298" spans="1:17" x14ac:dyDescent="0.35">
      <c r="A298">
        <v>1188</v>
      </c>
      <c r="B298">
        <v>1</v>
      </c>
      <c r="C298">
        <v>2</v>
      </c>
      <c r="D298" t="s">
        <v>438</v>
      </c>
      <c r="E298" t="s">
        <v>14</v>
      </c>
      <c r="F298">
        <v>1</v>
      </c>
      <c r="G298">
        <v>1</v>
      </c>
      <c r="H298">
        <v>2</v>
      </c>
      <c r="I298" t="s">
        <v>439</v>
      </c>
      <c r="J298">
        <v>41.5792</v>
      </c>
      <c r="L298" t="s">
        <v>23</v>
      </c>
      <c r="M298">
        <f t="shared" si="32"/>
        <v>0</v>
      </c>
      <c r="N298">
        <f t="shared" si="33"/>
        <v>1</v>
      </c>
      <c r="P298" t="str">
        <f>IF(E298="male",F298,"")</f>
        <v/>
      </c>
      <c r="Q298" t="str">
        <f t="shared" si="35"/>
        <v/>
      </c>
    </row>
    <row r="299" spans="1:17" x14ac:dyDescent="0.35">
      <c r="A299">
        <v>1189</v>
      </c>
      <c r="B299">
        <v>0</v>
      </c>
      <c r="C299">
        <v>3</v>
      </c>
      <c r="D299" t="s">
        <v>440</v>
      </c>
      <c r="E299" t="s">
        <v>11</v>
      </c>
      <c r="G299">
        <v>2</v>
      </c>
      <c r="H299">
        <v>0</v>
      </c>
      <c r="I299">
        <v>2662</v>
      </c>
      <c r="J299">
        <v>21.679200000000002</v>
      </c>
      <c r="L299" t="s">
        <v>23</v>
      </c>
      <c r="M299">
        <f t="shared" si="32"/>
        <v>1</v>
      </c>
      <c r="N299">
        <f t="shared" si="33"/>
        <v>1</v>
      </c>
      <c r="Q299" t="str">
        <f t="shared" si="35"/>
        <v/>
      </c>
    </row>
    <row r="300" spans="1:17" x14ac:dyDescent="0.35">
      <c r="A300">
        <v>1190</v>
      </c>
      <c r="B300">
        <v>0</v>
      </c>
      <c r="C300">
        <v>1</v>
      </c>
      <c r="D300" t="s">
        <v>441</v>
      </c>
      <c r="E300" t="s">
        <v>11</v>
      </c>
      <c r="F300">
        <v>30</v>
      </c>
      <c r="G300">
        <v>0</v>
      </c>
      <c r="H300">
        <v>0</v>
      </c>
      <c r="I300">
        <v>113801</v>
      </c>
      <c r="J300">
        <v>45.5</v>
      </c>
      <c r="L300" t="s">
        <v>15</v>
      </c>
      <c r="M300">
        <f t="shared" si="32"/>
        <v>1</v>
      </c>
      <c r="N300">
        <f t="shared" si="33"/>
        <v>1</v>
      </c>
      <c r="P300">
        <f>IF(E300="male",F300,"")</f>
        <v>30</v>
      </c>
      <c r="Q300" t="str">
        <f t="shared" si="35"/>
        <v/>
      </c>
    </row>
    <row r="301" spans="1:17" x14ac:dyDescent="0.35">
      <c r="A301">
        <v>1191</v>
      </c>
      <c r="B301">
        <v>0</v>
      </c>
      <c r="C301">
        <v>3</v>
      </c>
      <c r="D301" t="s">
        <v>442</v>
      </c>
      <c r="E301" t="s">
        <v>11</v>
      </c>
      <c r="F301">
        <v>29</v>
      </c>
      <c r="G301">
        <v>0</v>
      </c>
      <c r="H301">
        <v>0</v>
      </c>
      <c r="I301">
        <v>347467</v>
      </c>
      <c r="J301">
        <v>7.8541999999999996</v>
      </c>
      <c r="L301" t="s">
        <v>15</v>
      </c>
      <c r="M301">
        <f t="shared" si="32"/>
        <v>1</v>
      </c>
      <c r="N301">
        <f t="shared" si="33"/>
        <v>1</v>
      </c>
      <c r="P301">
        <f>IF(E301="male",F301,"")</f>
        <v>29</v>
      </c>
      <c r="Q301" t="str">
        <f t="shared" si="35"/>
        <v/>
      </c>
    </row>
    <row r="302" spans="1:17" x14ac:dyDescent="0.35">
      <c r="A302">
        <v>1192</v>
      </c>
      <c r="B302">
        <v>0</v>
      </c>
      <c r="C302">
        <v>3</v>
      </c>
      <c r="D302" t="s">
        <v>443</v>
      </c>
      <c r="E302" t="s">
        <v>11</v>
      </c>
      <c r="F302">
        <v>32</v>
      </c>
      <c r="G302">
        <v>0</v>
      </c>
      <c r="H302">
        <v>0</v>
      </c>
      <c r="I302">
        <v>347079</v>
      </c>
      <c r="J302">
        <v>7.7750000000000004</v>
      </c>
      <c r="L302" t="s">
        <v>15</v>
      </c>
      <c r="M302">
        <f t="shared" si="32"/>
        <v>1</v>
      </c>
      <c r="N302">
        <f t="shared" si="33"/>
        <v>1</v>
      </c>
      <c r="P302">
        <f>IF(E302="male",F302,"")</f>
        <v>32</v>
      </c>
      <c r="Q302" t="str">
        <f t="shared" si="35"/>
        <v/>
      </c>
    </row>
    <row r="303" spans="1:17" x14ac:dyDescent="0.35">
      <c r="A303">
        <v>1193</v>
      </c>
      <c r="B303">
        <v>0</v>
      </c>
      <c r="C303">
        <v>2</v>
      </c>
      <c r="D303" t="s">
        <v>444</v>
      </c>
      <c r="E303" t="s">
        <v>11</v>
      </c>
      <c r="G303">
        <v>0</v>
      </c>
      <c r="H303">
        <v>0</v>
      </c>
      <c r="I303">
        <v>237735</v>
      </c>
      <c r="J303">
        <v>15.0458</v>
      </c>
      <c r="K303" t="s">
        <v>445</v>
      </c>
      <c r="L303" t="s">
        <v>23</v>
      </c>
      <c r="M303">
        <f t="shared" si="32"/>
        <v>1</v>
      </c>
      <c r="N303">
        <f t="shared" si="33"/>
        <v>1</v>
      </c>
      <c r="Q303" t="str">
        <f t="shared" si="35"/>
        <v/>
      </c>
    </row>
    <row r="304" spans="1:17" x14ac:dyDescent="0.35">
      <c r="A304">
        <v>1194</v>
      </c>
      <c r="B304">
        <v>0</v>
      </c>
      <c r="C304">
        <v>2</v>
      </c>
      <c r="D304" t="s">
        <v>446</v>
      </c>
      <c r="E304" t="s">
        <v>11</v>
      </c>
      <c r="F304">
        <v>43</v>
      </c>
      <c r="G304">
        <v>0</v>
      </c>
      <c r="H304">
        <v>1</v>
      </c>
      <c r="I304" t="s">
        <v>285</v>
      </c>
      <c r="J304">
        <v>21</v>
      </c>
      <c r="L304" t="s">
        <v>15</v>
      </c>
      <c r="M304">
        <f t="shared" si="32"/>
        <v>1</v>
      </c>
      <c r="N304">
        <f t="shared" si="33"/>
        <v>1</v>
      </c>
      <c r="P304">
        <f t="shared" ref="P304:P313" si="37">IF(E304="male",F304,"")</f>
        <v>43</v>
      </c>
      <c r="Q304" t="str">
        <f t="shared" si="35"/>
        <v/>
      </c>
    </row>
    <row r="305" spans="1:17" x14ac:dyDescent="0.35">
      <c r="A305">
        <v>1195</v>
      </c>
      <c r="B305">
        <v>0</v>
      </c>
      <c r="C305">
        <v>3</v>
      </c>
      <c r="D305" t="s">
        <v>447</v>
      </c>
      <c r="E305" t="s">
        <v>11</v>
      </c>
      <c r="F305">
        <v>24</v>
      </c>
      <c r="G305">
        <v>0</v>
      </c>
      <c r="H305">
        <v>0</v>
      </c>
      <c r="I305">
        <v>315092</v>
      </c>
      <c r="J305">
        <v>8.6624999999999996</v>
      </c>
      <c r="L305" t="s">
        <v>15</v>
      </c>
      <c r="M305">
        <f t="shared" si="32"/>
        <v>1</v>
      </c>
      <c r="N305">
        <f t="shared" si="33"/>
        <v>0</v>
      </c>
      <c r="P305">
        <f t="shared" si="37"/>
        <v>24</v>
      </c>
      <c r="Q305">
        <f t="shared" si="35"/>
        <v>0</v>
      </c>
    </row>
    <row r="306" spans="1:17" x14ac:dyDescent="0.35">
      <c r="A306">
        <v>1196</v>
      </c>
      <c r="B306">
        <v>1</v>
      </c>
      <c r="C306">
        <v>3</v>
      </c>
      <c r="D306" t="s">
        <v>448</v>
      </c>
      <c r="E306" t="s">
        <v>14</v>
      </c>
      <c r="G306">
        <v>0</v>
      </c>
      <c r="H306">
        <v>0</v>
      </c>
      <c r="I306">
        <v>383123</v>
      </c>
      <c r="J306">
        <v>7.75</v>
      </c>
      <c r="L306" t="s">
        <v>12</v>
      </c>
      <c r="M306">
        <f t="shared" si="32"/>
        <v>0</v>
      </c>
      <c r="N306">
        <f t="shared" si="33"/>
        <v>0</v>
      </c>
      <c r="P306" t="str">
        <f t="shared" si="37"/>
        <v/>
      </c>
      <c r="Q306">
        <f t="shared" si="35"/>
        <v>64</v>
      </c>
    </row>
    <row r="307" spans="1:17" x14ac:dyDescent="0.35">
      <c r="A307">
        <v>1197</v>
      </c>
      <c r="B307">
        <v>1</v>
      </c>
      <c r="C307">
        <v>1</v>
      </c>
      <c r="D307" t="s">
        <v>449</v>
      </c>
      <c r="E307" t="s">
        <v>14</v>
      </c>
      <c r="F307">
        <v>64</v>
      </c>
      <c r="G307">
        <v>1</v>
      </c>
      <c r="H307">
        <v>1</v>
      </c>
      <c r="I307">
        <v>112901</v>
      </c>
      <c r="J307">
        <v>26.55</v>
      </c>
      <c r="K307" t="s">
        <v>450</v>
      </c>
      <c r="L307" t="s">
        <v>15</v>
      </c>
      <c r="M307">
        <f t="shared" si="32"/>
        <v>0</v>
      </c>
      <c r="N307">
        <f t="shared" si="33"/>
        <v>1</v>
      </c>
      <c r="P307" t="str">
        <f t="shared" si="37"/>
        <v/>
      </c>
      <c r="Q307" t="str">
        <f t="shared" si="35"/>
        <v/>
      </c>
    </row>
    <row r="308" spans="1:17" x14ac:dyDescent="0.35">
      <c r="A308">
        <v>1198</v>
      </c>
      <c r="B308">
        <v>0</v>
      </c>
      <c r="C308">
        <v>1</v>
      </c>
      <c r="D308" t="s">
        <v>451</v>
      </c>
      <c r="E308" t="s">
        <v>11</v>
      </c>
      <c r="F308">
        <v>30</v>
      </c>
      <c r="G308">
        <v>1</v>
      </c>
      <c r="H308">
        <v>2</v>
      </c>
      <c r="I308">
        <v>113781</v>
      </c>
      <c r="J308">
        <v>151.55000000000001</v>
      </c>
      <c r="K308" t="s">
        <v>452</v>
      </c>
      <c r="L308" t="s">
        <v>15</v>
      </c>
      <c r="M308">
        <f t="shared" si="32"/>
        <v>1</v>
      </c>
      <c r="N308">
        <f t="shared" si="33"/>
        <v>1</v>
      </c>
      <c r="P308">
        <f t="shared" si="37"/>
        <v>30</v>
      </c>
      <c r="Q308" t="str">
        <f t="shared" si="35"/>
        <v/>
      </c>
    </row>
    <row r="309" spans="1:17" x14ac:dyDescent="0.35">
      <c r="A309">
        <v>1199</v>
      </c>
      <c r="B309">
        <v>0</v>
      </c>
      <c r="C309">
        <v>3</v>
      </c>
      <c r="D309" t="s">
        <v>453</v>
      </c>
      <c r="E309" t="s">
        <v>11</v>
      </c>
      <c r="F309">
        <v>0.83</v>
      </c>
      <c r="G309">
        <v>0</v>
      </c>
      <c r="H309">
        <v>1</v>
      </c>
      <c r="I309">
        <v>392091</v>
      </c>
      <c r="J309">
        <v>9.35</v>
      </c>
      <c r="L309" t="s">
        <v>15</v>
      </c>
      <c r="M309">
        <f t="shared" si="32"/>
        <v>1</v>
      </c>
      <c r="N309">
        <f t="shared" si="33"/>
        <v>1</v>
      </c>
      <c r="P309">
        <f t="shared" si="37"/>
        <v>0.83</v>
      </c>
      <c r="Q309" t="str">
        <f t="shared" si="35"/>
        <v/>
      </c>
    </row>
    <row r="310" spans="1:17" x14ac:dyDescent="0.35">
      <c r="A310">
        <v>1200</v>
      </c>
      <c r="B310">
        <v>0</v>
      </c>
      <c r="C310">
        <v>1</v>
      </c>
      <c r="D310" t="s">
        <v>454</v>
      </c>
      <c r="E310" t="s">
        <v>11</v>
      </c>
      <c r="F310">
        <v>55</v>
      </c>
      <c r="G310">
        <v>1</v>
      </c>
      <c r="H310">
        <v>1</v>
      </c>
      <c r="I310">
        <v>12749</v>
      </c>
      <c r="J310">
        <v>93.5</v>
      </c>
      <c r="K310" t="s">
        <v>455</v>
      </c>
      <c r="L310" t="s">
        <v>15</v>
      </c>
      <c r="M310">
        <f t="shared" si="32"/>
        <v>1</v>
      </c>
      <c r="N310">
        <f t="shared" si="33"/>
        <v>0</v>
      </c>
      <c r="P310">
        <f t="shared" si="37"/>
        <v>55</v>
      </c>
      <c r="Q310">
        <f t="shared" si="35"/>
        <v>45</v>
      </c>
    </row>
    <row r="311" spans="1:17" x14ac:dyDescent="0.35">
      <c r="A311">
        <v>1201</v>
      </c>
      <c r="B311">
        <v>1</v>
      </c>
      <c r="C311">
        <v>3</v>
      </c>
      <c r="D311" t="s">
        <v>456</v>
      </c>
      <c r="E311" t="s">
        <v>14</v>
      </c>
      <c r="F311">
        <v>45</v>
      </c>
      <c r="G311">
        <v>1</v>
      </c>
      <c r="H311">
        <v>0</v>
      </c>
      <c r="I311">
        <v>350026</v>
      </c>
      <c r="J311">
        <v>14.1083</v>
      </c>
      <c r="L311" t="s">
        <v>15</v>
      </c>
      <c r="M311">
        <f t="shared" si="32"/>
        <v>0</v>
      </c>
      <c r="N311">
        <f t="shared" si="33"/>
        <v>1</v>
      </c>
      <c r="P311" t="str">
        <f t="shared" si="37"/>
        <v/>
      </c>
      <c r="Q311" t="str">
        <f t="shared" si="35"/>
        <v/>
      </c>
    </row>
    <row r="312" spans="1:17" x14ac:dyDescent="0.35">
      <c r="A312">
        <v>1202</v>
      </c>
      <c r="B312">
        <v>0</v>
      </c>
      <c r="C312">
        <v>3</v>
      </c>
      <c r="D312" t="s">
        <v>457</v>
      </c>
      <c r="E312" t="s">
        <v>11</v>
      </c>
      <c r="F312">
        <v>18</v>
      </c>
      <c r="G312">
        <v>0</v>
      </c>
      <c r="H312">
        <v>0</v>
      </c>
      <c r="I312">
        <v>315091</v>
      </c>
      <c r="J312">
        <v>8.6624999999999996</v>
      </c>
      <c r="L312" t="s">
        <v>15</v>
      </c>
      <c r="M312">
        <f t="shared" si="32"/>
        <v>1</v>
      </c>
      <c r="N312">
        <f t="shared" si="33"/>
        <v>1</v>
      </c>
      <c r="P312">
        <f t="shared" si="37"/>
        <v>18</v>
      </c>
      <c r="Q312" t="str">
        <f t="shared" si="35"/>
        <v/>
      </c>
    </row>
    <row r="313" spans="1:17" x14ac:dyDescent="0.35">
      <c r="A313">
        <v>1203</v>
      </c>
      <c r="B313">
        <v>0</v>
      </c>
      <c r="C313">
        <v>3</v>
      </c>
      <c r="D313" t="s">
        <v>458</v>
      </c>
      <c r="E313" t="s">
        <v>11</v>
      </c>
      <c r="F313">
        <v>22</v>
      </c>
      <c r="G313">
        <v>0</v>
      </c>
      <c r="H313">
        <v>0</v>
      </c>
      <c r="I313">
        <v>2658</v>
      </c>
      <c r="J313">
        <v>7.2249999999999996</v>
      </c>
      <c r="L313" t="s">
        <v>23</v>
      </c>
      <c r="M313">
        <f t="shared" si="32"/>
        <v>1</v>
      </c>
      <c r="N313">
        <f t="shared" si="33"/>
        <v>1</v>
      </c>
      <c r="P313">
        <f t="shared" si="37"/>
        <v>22</v>
      </c>
      <c r="Q313" t="str">
        <f t="shared" si="35"/>
        <v/>
      </c>
    </row>
    <row r="314" spans="1:17" x14ac:dyDescent="0.35">
      <c r="A314">
        <v>1204</v>
      </c>
      <c r="B314">
        <v>0</v>
      </c>
      <c r="C314">
        <v>3</v>
      </c>
      <c r="D314" t="s">
        <v>459</v>
      </c>
      <c r="E314" t="s">
        <v>11</v>
      </c>
      <c r="G314">
        <v>0</v>
      </c>
      <c r="H314">
        <v>0</v>
      </c>
      <c r="I314" t="s">
        <v>460</v>
      </c>
      <c r="J314">
        <v>7.5750000000000002</v>
      </c>
      <c r="L314" t="s">
        <v>15</v>
      </c>
      <c r="M314">
        <f t="shared" si="32"/>
        <v>1</v>
      </c>
      <c r="N314">
        <f t="shared" si="33"/>
        <v>0</v>
      </c>
      <c r="Q314">
        <f t="shared" si="35"/>
        <v>37</v>
      </c>
    </row>
    <row r="315" spans="1:17" x14ac:dyDescent="0.35">
      <c r="A315">
        <v>1205</v>
      </c>
      <c r="B315">
        <v>1</v>
      </c>
      <c r="C315">
        <v>3</v>
      </c>
      <c r="D315" t="s">
        <v>461</v>
      </c>
      <c r="E315" t="s">
        <v>14</v>
      </c>
      <c r="F315">
        <v>37</v>
      </c>
      <c r="G315">
        <v>0</v>
      </c>
      <c r="H315">
        <v>0</v>
      </c>
      <c r="I315">
        <v>368364</v>
      </c>
      <c r="J315">
        <v>7.75</v>
      </c>
      <c r="L315" t="s">
        <v>12</v>
      </c>
      <c r="M315">
        <f t="shared" si="32"/>
        <v>0</v>
      </c>
      <c r="N315">
        <f t="shared" si="33"/>
        <v>0</v>
      </c>
      <c r="P315" t="str">
        <f t="shared" ref="P315:P333" si="38">IF(E315="male",F315,"")</f>
        <v/>
      </c>
      <c r="Q315">
        <f t="shared" si="35"/>
        <v>55</v>
      </c>
    </row>
    <row r="316" spans="1:17" x14ac:dyDescent="0.35">
      <c r="A316">
        <v>1206</v>
      </c>
      <c r="B316">
        <v>1</v>
      </c>
      <c r="C316">
        <v>1</v>
      </c>
      <c r="D316" t="s">
        <v>462</v>
      </c>
      <c r="E316" t="s">
        <v>14</v>
      </c>
      <c r="F316">
        <v>55</v>
      </c>
      <c r="G316">
        <v>0</v>
      </c>
      <c r="H316">
        <v>0</v>
      </c>
      <c r="I316" t="s">
        <v>463</v>
      </c>
      <c r="J316">
        <v>135.63329999999999</v>
      </c>
      <c r="K316" t="s">
        <v>464</v>
      </c>
      <c r="L316" t="s">
        <v>23</v>
      </c>
      <c r="M316">
        <f t="shared" si="32"/>
        <v>0</v>
      </c>
      <c r="N316">
        <f t="shared" si="33"/>
        <v>0</v>
      </c>
      <c r="P316" t="str">
        <f t="shared" si="38"/>
        <v/>
      </c>
      <c r="Q316">
        <f t="shared" si="35"/>
        <v>17</v>
      </c>
    </row>
    <row r="317" spans="1:17" x14ac:dyDescent="0.35">
      <c r="A317">
        <v>1207</v>
      </c>
      <c r="B317">
        <v>1</v>
      </c>
      <c r="C317">
        <v>3</v>
      </c>
      <c r="D317" t="s">
        <v>465</v>
      </c>
      <c r="E317" t="s">
        <v>14</v>
      </c>
      <c r="F317">
        <v>17</v>
      </c>
      <c r="G317">
        <v>0</v>
      </c>
      <c r="H317">
        <v>0</v>
      </c>
      <c r="I317" t="s">
        <v>466</v>
      </c>
      <c r="J317">
        <v>7.7332999999999998</v>
      </c>
      <c r="L317" t="s">
        <v>12</v>
      </c>
      <c r="M317">
        <f t="shared" si="32"/>
        <v>0</v>
      </c>
      <c r="N317">
        <f t="shared" si="33"/>
        <v>1</v>
      </c>
      <c r="P317" t="str">
        <f t="shared" si="38"/>
        <v/>
      </c>
      <c r="Q317" t="str">
        <f t="shared" si="35"/>
        <v/>
      </c>
    </row>
    <row r="318" spans="1:17" x14ac:dyDescent="0.35">
      <c r="A318">
        <v>1208</v>
      </c>
      <c r="B318">
        <v>0</v>
      </c>
      <c r="C318">
        <v>1</v>
      </c>
      <c r="D318" t="s">
        <v>467</v>
      </c>
      <c r="E318" t="s">
        <v>11</v>
      </c>
      <c r="F318">
        <v>57</v>
      </c>
      <c r="G318">
        <v>1</v>
      </c>
      <c r="H318">
        <v>0</v>
      </c>
      <c r="I318" t="s">
        <v>468</v>
      </c>
      <c r="J318">
        <v>146.52080000000001</v>
      </c>
      <c r="K318" t="s">
        <v>469</v>
      </c>
      <c r="L318" t="s">
        <v>23</v>
      </c>
      <c r="M318">
        <f t="shared" si="32"/>
        <v>1</v>
      </c>
      <c r="N318">
        <f t="shared" si="33"/>
        <v>1</v>
      </c>
      <c r="P318">
        <f t="shared" si="38"/>
        <v>57</v>
      </c>
      <c r="Q318" t="str">
        <f t="shared" si="35"/>
        <v/>
      </c>
    </row>
    <row r="319" spans="1:17" x14ac:dyDescent="0.35">
      <c r="A319">
        <v>1209</v>
      </c>
      <c r="B319">
        <v>0</v>
      </c>
      <c r="C319">
        <v>2</v>
      </c>
      <c r="D319" t="s">
        <v>470</v>
      </c>
      <c r="E319" t="s">
        <v>11</v>
      </c>
      <c r="F319">
        <v>19</v>
      </c>
      <c r="G319">
        <v>0</v>
      </c>
      <c r="H319">
        <v>0</v>
      </c>
      <c r="I319">
        <v>28004</v>
      </c>
      <c r="J319">
        <v>10.5</v>
      </c>
      <c r="L319" t="s">
        <v>15</v>
      </c>
      <c r="M319">
        <f t="shared" si="32"/>
        <v>1</v>
      </c>
      <c r="N319">
        <f t="shared" si="33"/>
        <v>1</v>
      </c>
      <c r="P319">
        <f t="shared" si="38"/>
        <v>19</v>
      </c>
      <c r="Q319" t="str">
        <f t="shared" si="35"/>
        <v/>
      </c>
    </row>
    <row r="320" spans="1:17" x14ac:dyDescent="0.35">
      <c r="A320">
        <v>1210</v>
      </c>
      <c r="B320">
        <v>0</v>
      </c>
      <c r="C320">
        <v>3</v>
      </c>
      <c r="D320" t="s">
        <v>471</v>
      </c>
      <c r="E320" t="s">
        <v>11</v>
      </c>
      <c r="F320">
        <v>27</v>
      </c>
      <c r="G320">
        <v>0</v>
      </c>
      <c r="H320">
        <v>0</v>
      </c>
      <c r="I320">
        <v>350408</v>
      </c>
      <c r="J320">
        <v>7.8541999999999996</v>
      </c>
      <c r="L320" t="s">
        <v>15</v>
      </c>
      <c r="M320">
        <f t="shared" si="32"/>
        <v>1</v>
      </c>
      <c r="N320">
        <f t="shared" si="33"/>
        <v>1</v>
      </c>
      <c r="P320">
        <f t="shared" si="38"/>
        <v>27</v>
      </c>
      <c r="Q320" t="str">
        <f t="shared" si="35"/>
        <v/>
      </c>
    </row>
    <row r="321" spans="1:17" x14ac:dyDescent="0.35">
      <c r="A321">
        <v>1211</v>
      </c>
      <c r="B321">
        <v>0</v>
      </c>
      <c r="C321">
        <v>2</v>
      </c>
      <c r="D321" t="s">
        <v>472</v>
      </c>
      <c r="E321" t="s">
        <v>11</v>
      </c>
      <c r="F321">
        <v>22</v>
      </c>
      <c r="G321">
        <v>2</v>
      </c>
      <c r="H321">
        <v>0</v>
      </c>
      <c r="I321" t="s">
        <v>63</v>
      </c>
      <c r="J321">
        <v>31.5</v>
      </c>
      <c r="L321" t="s">
        <v>15</v>
      </c>
      <c r="M321">
        <f t="shared" si="32"/>
        <v>1</v>
      </c>
      <c r="N321">
        <f t="shared" si="33"/>
        <v>1</v>
      </c>
      <c r="P321">
        <f t="shared" si="38"/>
        <v>22</v>
      </c>
      <c r="Q321" t="str">
        <f t="shared" si="35"/>
        <v/>
      </c>
    </row>
    <row r="322" spans="1:17" x14ac:dyDescent="0.35">
      <c r="A322">
        <v>1212</v>
      </c>
      <c r="B322">
        <v>0</v>
      </c>
      <c r="C322">
        <v>3</v>
      </c>
      <c r="D322" t="s">
        <v>473</v>
      </c>
      <c r="E322" t="s">
        <v>11</v>
      </c>
      <c r="F322">
        <v>26</v>
      </c>
      <c r="G322">
        <v>0</v>
      </c>
      <c r="H322">
        <v>0</v>
      </c>
      <c r="I322">
        <v>347075</v>
      </c>
      <c r="J322">
        <v>7.7750000000000004</v>
      </c>
      <c r="L322" t="s">
        <v>15</v>
      </c>
      <c r="M322">
        <f t="shared" si="32"/>
        <v>1</v>
      </c>
      <c r="N322">
        <f t="shared" si="33"/>
        <v>1</v>
      </c>
      <c r="P322">
        <f t="shared" si="38"/>
        <v>26</v>
      </c>
      <c r="Q322" t="str">
        <f t="shared" si="35"/>
        <v/>
      </c>
    </row>
    <row r="323" spans="1:17" x14ac:dyDescent="0.35">
      <c r="A323">
        <v>1213</v>
      </c>
      <c r="B323">
        <v>0</v>
      </c>
      <c r="C323">
        <v>3</v>
      </c>
      <c r="D323" t="s">
        <v>474</v>
      </c>
      <c r="E323" t="s">
        <v>11</v>
      </c>
      <c r="F323">
        <v>25</v>
      </c>
      <c r="G323">
        <v>0</v>
      </c>
      <c r="H323">
        <v>0</v>
      </c>
      <c r="I323">
        <v>2654</v>
      </c>
      <c r="J323">
        <v>7.2291999999999996</v>
      </c>
      <c r="K323" t="s">
        <v>475</v>
      </c>
      <c r="L323" t="s">
        <v>23</v>
      </c>
      <c r="M323">
        <f t="shared" ref="M323:M386" si="39">IF(E323="male",1,0)</f>
        <v>1</v>
      </c>
      <c r="N323">
        <f t="shared" ref="N323:N386" si="40">IF(E324="female",0,1)</f>
        <v>1</v>
      </c>
      <c r="P323">
        <f t="shared" si="38"/>
        <v>25</v>
      </c>
      <c r="Q323" t="str">
        <f t="shared" ref="Q323:Q386" si="41">IF(E324="female",F324,"")</f>
        <v/>
      </c>
    </row>
    <row r="324" spans="1:17" x14ac:dyDescent="0.35">
      <c r="A324">
        <v>1214</v>
      </c>
      <c r="B324">
        <v>0</v>
      </c>
      <c r="C324">
        <v>2</v>
      </c>
      <c r="D324" t="s">
        <v>476</v>
      </c>
      <c r="E324" t="s">
        <v>11</v>
      </c>
      <c r="F324">
        <v>26</v>
      </c>
      <c r="G324">
        <v>0</v>
      </c>
      <c r="H324">
        <v>0</v>
      </c>
      <c r="I324">
        <v>244368</v>
      </c>
      <c r="J324">
        <v>13</v>
      </c>
      <c r="K324" t="s">
        <v>477</v>
      </c>
      <c r="L324" t="s">
        <v>15</v>
      </c>
      <c r="M324">
        <f t="shared" si="39"/>
        <v>1</v>
      </c>
      <c r="N324">
        <f t="shared" si="40"/>
        <v>1</v>
      </c>
      <c r="P324">
        <f t="shared" si="38"/>
        <v>26</v>
      </c>
      <c r="Q324" t="str">
        <f t="shared" si="41"/>
        <v/>
      </c>
    </row>
    <row r="325" spans="1:17" x14ac:dyDescent="0.35">
      <c r="A325">
        <v>1215</v>
      </c>
      <c r="B325">
        <v>0</v>
      </c>
      <c r="C325">
        <v>1</v>
      </c>
      <c r="D325" t="s">
        <v>478</v>
      </c>
      <c r="E325" t="s">
        <v>11</v>
      </c>
      <c r="F325">
        <v>33</v>
      </c>
      <c r="G325">
        <v>0</v>
      </c>
      <c r="H325">
        <v>0</v>
      </c>
      <c r="I325">
        <v>113790</v>
      </c>
      <c r="J325">
        <v>26.55</v>
      </c>
      <c r="L325" t="s">
        <v>15</v>
      </c>
      <c r="M325">
        <f t="shared" si="39"/>
        <v>1</v>
      </c>
      <c r="N325">
        <f t="shared" si="40"/>
        <v>0</v>
      </c>
      <c r="P325">
        <f t="shared" si="38"/>
        <v>33</v>
      </c>
      <c r="Q325">
        <f t="shared" si="41"/>
        <v>39</v>
      </c>
    </row>
    <row r="326" spans="1:17" x14ac:dyDescent="0.35">
      <c r="A326">
        <v>1216</v>
      </c>
      <c r="B326">
        <v>1</v>
      </c>
      <c r="C326">
        <v>1</v>
      </c>
      <c r="D326" t="s">
        <v>479</v>
      </c>
      <c r="E326" t="s">
        <v>14</v>
      </c>
      <c r="F326">
        <v>39</v>
      </c>
      <c r="G326">
        <v>0</v>
      </c>
      <c r="H326">
        <v>0</v>
      </c>
      <c r="I326">
        <v>24160</v>
      </c>
      <c r="J326">
        <v>211.33750000000001</v>
      </c>
      <c r="L326" t="s">
        <v>15</v>
      </c>
      <c r="M326">
        <f t="shared" si="39"/>
        <v>0</v>
      </c>
      <c r="N326">
        <f t="shared" si="40"/>
        <v>1</v>
      </c>
      <c r="P326" t="str">
        <f t="shared" si="38"/>
        <v/>
      </c>
      <c r="Q326" t="str">
        <f t="shared" si="41"/>
        <v/>
      </c>
    </row>
    <row r="327" spans="1:17" x14ac:dyDescent="0.35">
      <c r="A327">
        <v>1217</v>
      </c>
      <c r="B327">
        <v>0</v>
      </c>
      <c r="C327">
        <v>3</v>
      </c>
      <c r="D327" t="s">
        <v>480</v>
      </c>
      <c r="E327" t="s">
        <v>11</v>
      </c>
      <c r="F327">
        <v>23</v>
      </c>
      <c r="G327">
        <v>0</v>
      </c>
      <c r="H327">
        <v>0</v>
      </c>
      <c r="I327" t="s">
        <v>481</v>
      </c>
      <c r="J327">
        <v>7.05</v>
      </c>
      <c r="L327" t="s">
        <v>15</v>
      </c>
      <c r="M327">
        <f t="shared" si="39"/>
        <v>1</v>
      </c>
      <c r="N327">
        <f t="shared" si="40"/>
        <v>0</v>
      </c>
      <c r="P327">
        <f t="shared" si="38"/>
        <v>23</v>
      </c>
      <c r="Q327">
        <f t="shared" si="41"/>
        <v>12</v>
      </c>
    </row>
    <row r="328" spans="1:17" x14ac:dyDescent="0.35">
      <c r="A328">
        <v>1218</v>
      </c>
      <c r="B328">
        <v>1</v>
      </c>
      <c r="C328">
        <v>2</v>
      </c>
      <c r="D328" t="s">
        <v>482</v>
      </c>
      <c r="E328" t="s">
        <v>14</v>
      </c>
      <c r="F328">
        <v>12</v>
      </c>
      <c r="G328">
        <v>2</v>
      </c>
      <c r="H328">
        <v>1</v>
      </c>
      <c r="I328">
        <v>230136</v>
      </c>
      <c r="J328">
        <v>39</v>
      </c>
      <c r="K328" t="s">
        <v>270</v>
      </c>
      <c r="L328" t="s">
        <v>15</v>
      </c>
      <c r="M328">
        <f t="shared" si="39"/>
        <v>0</v>
      </c>
      <c r="N328">
        <f t="shared" si="40"/>
        <v>1</v>
      </c>
      <c r="P328" t="str">
        <f t="shared" si="38"/>
        <v/>
      </c>
      <c r="Q328" t="str">
        <f t="shared" si="41"/>
        <v/>
      </c>
    </row>
    <row r="329" spans="1:17" x14ac:dyDescent="0.35">
      <c r="A329">
        <v>1219</v>
      </c>
      <c r="B329">
        <v>0</v>
      </c>
      <c r="C329">
        <v>1</v>
      </c>
      <c r="D329" t="s">
        <v>483</v>
      </c>
      <c r="E329" t="s">
        <v>11</v>
      </c>
      <c r="F329">
        <v>46</v>
      </c>
      <c r="G329">
        <v>0</v>
      </c>
      <c r="H329">
        <v>0</v>
      </c>
      <c r="I329" t="s">
        <v>484</v>
      </c>
      <c r="J329">
        <v>79.2</v>
      </c>
      <c r="L329" t="s">
        <v>23</v>
      </c>
      <c r="M329">
        <f t="shared" si="39"/>
        <v>1</v>
      </c>
      <c r="N329">
        <f t="shared" si="40"/>
        <v>1</v>
      </c>
      <c r="P329">
        <f t="shared" si="38"/>
        <v>46</v>
      </c>
      <c r="Q329" t="str">
        <f t="shared" si="41"/>
        <v/>
      </c>
    </row>
    <row r="330" spans="1:17" x14ac:dyDescent="0.35">
      <c r="A330">
        <v>1220</v>
      </c>
      <c r="B330">
        <v>0</v>
      </c>
      <c r="C330">
        <v>2</v>
      </c>
      <c r="D330" t="s">
        <v>485</v>
      </c>
      <c r="E330" t="s">
        <v>11</v>
      </c>
      <c r="F330">
        <v>29</v>
      </c>
      <c r="G330">
        <v>1</v>
      </c>
      <c r="H330">
        <v>0</v>
      </c>
      <c r="I330">
        <v>2003</v>
      </c>
      <c r="J330">
        <v>26</v>
      </c>
      <c r="L330" t="s">
        <v>15</v>
      </c>
      <c r="M330">
        <f t="shared" si="39"/>
        <v>1</v>
      </c>
      <c r="N330">
        <f t="shared" si="40"/>
        <v>1</v>
      </c>
      <c r="P330">
        <f t="shared" si="38"/>
        <v>29</v>
      </c>
      <c r="Q330" t="str">
        <f t="shared" si="41"/>
        <v/>
      </c>
    </row>
    <row r="331" spans="1:17" x14ac:dyDescent="0.35">
      <c r="A331">
        <v>1221</v>
      </c>
      <c r="B331">
        <v>0</v>
      </c>
      <c r="C331">
        <v>2</v>
      </c>
      <c r="D331" t="s">
        <v>486</v>
      </c>
      <c r="E331" t="s">
        <v>11</v>
      </c>
      <c r="F331">
        <v>21</v>
      </c>
      <c r="G331">
        <v>0</v>
      </c>
      <c r="H331">
        <v>0</v>
      </c>
      <c r="I331">
        <v>236854</v>
      </c>
      <c r="J331">
        <v>13</v>
      </c>
      <c r="L331" t="s">
        <v>15</v>
      </c>
      <c r="M331">
        <f t="shared" si="39"/>
        <v>1</v>
      </c>
      <c r="N331">
        <f t="shared" si="40"/>
        <v>0</v>
      </c>
      <c r="P331">
        <f t="shared" si="38"/>
        <v>21</v>
      </c>
      <c r="Q331">
        <f t="shared" si="41"/>
        <v>48</v>
      </c>
    </row>
    <row r="332" spans="1:17" x14ac:dyDescent="0.35">
      <c r="A332">
        <v>1222</v>
      </c>
      <c r="B332">
        <v>1</v>
      </c>
      <c r="C332">
        <v>2</v>
      </c>
      <c r="D332" t="s">
        <v>487</v>
      </c>
      <c r="E332" t="s">
        <v>14</v>
      </c>
      <c r="F332">
        <v>48</v>
      </c>
      <c r="G332">
        <v>0</v>
      </c>
      <c r="H332">
        <v>2</v>
      </c>
      <c r="I332" t="s">
        <v>267</v>
      </c>
      <c r="J332">
        <v>36.75</v>
      </c>
      <c r="L332" t="s">
        <v>15</v>
      </c>
      <c r="M332">
        <f t="shared" si="39"/>
        <v>0</v>
      </c>
      <c r="N332">
        <f t="shared" si="40"/>
        <v>1</v>
      </c>
      <c r="P332" t="str">
        <f t="shared" si="38"/>
        <v/>
      </c>
      <c r="Q332" t="str">
        <f t="shared" si="41"/>
        <v/>
      </c>
    </row>
    <row r="333" spans="1:17" x14ac:dyDescent="0.35">
      <c r="A333">
        <v>1223</v>
      </c>
      <c r="B333">
        <v>0</v>
      </c>
      <c r="C333">
        <v>1</v>
      </c>
      <c r="D333" t="s">
        <v>488</v>
      </c>
      <c r="E333" t="s">
        <v>11</v>
      </c>
      <c r="F333">
        <v>39</v>
      </c>
      <c r="G333">
        <v>0</v>
      </c>
      <c r="H333">
        <v>0</v>
      </c>
      <c r="I333" t="s">
        <v>489</v>
      </c>
      <c r="J333">
        <v>29.7</v>
      </c>
      <c r="K333" t="s">
        <v>490</v>
      </c>
      <c r="L333" t="s">
        <v>23</v>
      </c>
      <c r="M333">
        <f t="shared" si="39"/>
        <v>1</v>
      </c>
      <c r="N333">
        <f t="shared" si="40"/>
        <v>1</v>
      </c>
      <c r="P333">
        <f t="shared" si="38"/>
        <v>39</v>
      </c>
      <c r="Q333" t="str">
        <f t="shared" si="41"/>
        <v/>
      </c>
    </row>
    <row r="334" spans="1:17" x14ac:dyDescent="0.35">
      <c r="A334">
        <v>1224</v>
      </c>
      <c r="B334">
        <v>0</v>
      </c>
      <c r="C334">
        <v>3</v>
      </c>
      <c r="D334" t="s">
        <v>491</v>
      </c>
      <c r="E334" t="s">
        <v>11</v>
      </c>
      <c r="G334">
        <v>0</v>
      </c>
      <c r="H334">
        <v>0</v>
      </c>
      <c r="I334">
        <v>2684</v>
      </c>
      <c r="J334">
        <v>7.2249999999999996</v>
      </c>
      <c r="L334" t="s">
        <v>23</v>
      </c>
      <c r="M334">
        <f t="shared" si="39"/>
        <v>1</v>
      </c>
      <c r="N334">
        <f t="shared" si="40"/>
        <v>0</v>
      </c>
      <c r="Q334">
        <f t="shared" si="41"/>
        <v>19</v>
      </c>
    </row>
    <row r="335" spans="1:17" x14ac:dyDescent="0.35">
      <c r="A335">
        <v>1225</v>
      </c>
      <c r="B335">
        <v>1</v>
      </c>
      <c r="C335">
        <v>3</v>
      </c>
      <c r="D335" t="s">
        <v>492</v>
      </c>
      <c r="E335" t="s">
        <v>14</v>
      </c>
      <c r="F335">
        <v>19</v>
      </c>
      <c r="G335">
        <v>1</v>
      </c>
      <c r="H335">
        <v>1</v>
      </c>
      <c r="I335">
        <v>2653</v>
      </c>
      <c r="J335">
        <v>15.7417</v>
      </c>
      <c r="L335" t="s">
        <v>23</v>
      </c>
      <c r="M335">
        <f t="shared" si="39"/>
        <v>0</v>
      </c>
      <c r="N335">
        <f t="shared" si="40"/>
        <v>1</v>
      </c>
      <c r="P335" t="str">
        <f t="shared" ref="P335:P340" si="42">IF(E335="male",F335,"")</f>
        <v/>
      </c>
      <c r="Q335" t="str">
        <f t="shared" si="41"/>
        <v/>
      </c>
    </row>
    <row r="336" spans="1:17" x14ac:dyDescent="0.35">
      <c r="A336">
        <v>1226</v>
      </c>
      <c r="B336">
        <v>0</v>
      </c>
      <c r="C336">
        <v>3</v>
      </c>
      <c r="D336" t="s">
        <v>493</v>
      </c>
      <c r="E336" t="s">
        <v>11</v>
      </c>
      <c r="F336">
        <v>27</v>
      </c>
      <c r="G336">
        <v>0</v>
      </c>
      <c r="H336">
        <v>0</v>
      </c>
      <c r="I336">
        <v>349229</v>
      </c>
      <c r="J336">
        <v>7.8958000000000004</v>
      </c>
      <c r="L336" t="s">
        <v>15</v>
      </c>
      <c r="M336">
        <f t="shared" si="39"/>
        <v>1</v>
      </c>
      <c r="N336">
        <f t="shared" si="40"/>
        <v>1</v>
      </c>
      <c r="P336">
        <f t="shared" si="42"/>
        <v>27</v>
      </c>
      <c r="Q336" t="str">
        <f t="shared" si="41"/>
        <v/>
      </c>
    </row>
    <row r="337" spans="1:17" x14ac:dyDescent="0.35">
      <c r="A337">
        <v>1227</v>
      </c>
      <c r="B337">
        <v>0</v>
      </c>
      <c r="C337">
        <v>1</v>
      </c>
      <c r="D337" t="s">
        <v>494</v>
      </c>
      <c r="E337" t="s">
        <v>11</v>
      </c>
      <c r="F337">
        <v>30</v>
      </c>
      <c r="G337">
        <v>0</v>
      </c>
      <c r="H337">
        <v>0</v>
      </c>
      <c r="I337">
        <v>110469</v>
      </c>
      <c r="J337">
        <v>26</v>
      </c>
      <c r="K337" t="s">
        <v>495</v>
      </c>
      <c r="L337" t="s">
        <v>15</v>
      </c>
      <c r="M337">
        <f t="shared" si="39"/>
        <v>1</v>
      </c>
      <c r="N337">
        <f t="shared" si="40"/>
        <v>1</v>
      </c>
      <c r="P337">
        <f t="shared" si="42"/>
        <v>30</v>
      </c>
      <c r="Q337" t="str">
        <f t="shared" si="41"/>
        <v/>
      </c>
    </row>
    <row r="338" spans="1:17" x14ac:dyDescent="0.35">
      <c r="A338">
        <v>1228</v>
      </c>
      <c r="B338">
        <v>0</v>
      </c>
      <c r="C338">
        <v>2</v>
      </c>
      <c r="D338" t="s">
        <v>496</v>
      </c>
      <c r="E338" t="s">
        <v>11</v>
      </c>
      <c r="F338">
        <v>32</v>
      </c>
      <c r="G338">
        <v>0</v>
      </c>
      <c r="H338">
        <v>0</v>
      </c>
      <c r="I338">
        <v>244360</v>
      </c>
      <c r="J338">
        <v>13</v>
      </c>
      <c r="L338" t="s">
        <v>15</v>
      </c>
      <c r="M338">
        <f t="shared" si="39"/>
        <v>1</v>
      </c>
      <c r="N338">
        <f t="shared" si="40"/>
        <v>1</v>
      </c>
      <c r="P338">
        <f t="shared" si="42"/>
        <v>32</v>
      </c>
      <c r="Q338" t="str">
        <f t="shared" si="41"/>
        <v/>
      </c>
    </row>
    <row r="339" spans="1:17" x14ac:dyDescent="0.35">
      <c r="A339">
        <v>1229</v>
      </c>
      <c r="B339">
        <v>0</v>
      </c>
      <c r="C339">
        <v>3</v>
      </c>
      <c r="D339" t="s">
        <v>497</v>
      </c>
      <c r="E339" t="s">
        <v>11</v>
      </c>
      <c r="F339">
        <v>39</v>
      </c>
      <c r="G339">
        <v>0</v>
      </c>
      <c r="H339">
        <v>2</v>
      </c>
      <c r="I339">
        <v>2675</v>
      </c>
      <c r="J339">
        <v>7.2291999999999996</v>
      </c>
      <c r="L339" t="s">
        <v>23</v>
      </c>
      <c r="M339">
        <f t="shared" si="39"/>
        <v>1</v>
      </c>
      <c r="N339">
        <f t="shared" si="40"/>
        <v>1</v>
      </c>
      <c r="P339">
        <f t="shared" si="42"/>
        <v>39</v>
      </c>
      <c r="Q339" t="str">
        <f t="shared" si="41"/>
        <v/>
      </c>
    </row>
    <row r="340" spans="1:17" x14ac:dyDescent="0.35">
      <c r="A340">
        <v>1230</v>
      </c>
      <c r="B340">
        <v>0</v>
      </c>
      <c r="C340">
        <v>2</v>
      </c>
      <c r="D340" t="s">
        <v>498</v>
      </c>
      <c r="E340" t="s">
        <v>11</v>
      </c>
      <c r="F340">
        <v>25</v>
      </c>
      <c r="G340">
        <v>0</v>
      </c>
      <c r="H340">
        <v>0</v>
      </c>
      <c r="I340" t="s">
        <v>63</v>
      </c>
      <c r="J340">
        <v>31.5</v>
      </c>
      <c r="L340" t="s">
        <v>15</v>
      </c>
      <c r="M340">
        <f t="shared" si="39"/>
        <v>1</v>
      </c>
      <c r="N340">
        <f t="shared" si="40"/>
        <v>1</v>
      </c>
      <c r="P340">
        <f t="shared" si="42"/>
        <v>25</v>
      </c>
      <c r="Q340" t="str">
        <f t="shared" si="41"/>
        <v/>
      </c>
    </row>
    <row r="341" spans="1:17" x14ac:dyDescent="0.35">
      <c r="A341">
        <v>1231</v>
      </c>
      <c r="B341">
        <v>0</v>
      </c>
      <c r="C341">
        <v>3</v>
      </c>
      <c r="D341" t="s">
        <v>499</v>
      </c>
      <c r="E341" t="s">
        <v>11</v>
      </c>
      <c r="G341">
        <v>0</v>
      </c>
      <c r="H341">
        <v>0</v>
      </c>
      <c r="I341">
        <v>2622</v>
      </c>
      <c r="J341">
        <v>7.2291999999999996</v>
      </c>
      <c r="L341" t="s">
        <v>23</v>
      </c>
      <c r="M341">
        <f t="shared" si="39"/>
        <v>1</v>
      </c>
      <c r="N341">
        <f t="shared" si="40"/>
        <v>1</v>
      </c>
      <c r="Q341" t="str">
        <f t="shared" si="41"/>
        <v/>
      </c>
    </row>
    <row r="342" spans="1:17" x14ac:dyDescent="0.35">
      <c r="A342">
        <v>1232</v>
      </c>
      <c r="B342">
        <v>0</v>
      </c>
      <c r="C342">
        <v>2</v>
      </c>
      <c r="D342" t="s">
        <v>500</v>
      </c>
      <c r="E342" t="s">
        <v>11</v>
      </c>
      <c r="F342">
        <v>18</v>
      </c>
      <c r="G342">
        <v>0</v>
      </c>
      <c r="H342">
        <v>0</v>
      </c>
      <c r="I342" t="s">
        <v>501</v>
      </c>
      <c r="J342">
        <v>10.5</v>
      </c>
      <c r="L342" t="s">
        <v>15</v>
      </c>
      <c r="M342">
        <f t="shared" si="39"/>
        <v>1</v>
      </c>
      <c r="N342">
        <f t="shared" si="40"/>
        <v>1</v>
      </c>
      <c r="P342">
        <f>IF(E342="male",F342,"")</f>
        <v>18</v>
      </c>
      <c r="Q342" t="str">
        <f t="shared" si="41"/>
        <v/>
      </c>
    </row>
    <row r="343" spans="1:17" x14ac:dyDescent="0.35">
      <c r="A343">
        <v>1233</v>
      </c>
      <c r="B343">
        <v>0</v>
      </c>
      <c r="C343">
        <v>3</v>
      </c>
      <c r="D343" t="s">
        <v>502</v>
      </c>
      <c r="E343" t="s">
        <v>11</v>
      </c>
      <c r="F343">
        <v>32</v>
      </c>
      <c r="G343">
        <v>0</v>
      </c>
      <c r="H343">
        <v>0</v>
      </c>
      <c r="I343">
        <v>350403</v>
      </c>
      <c r="J343">
        <v>7.5792000000000002</v>
      </c>
      <c r="L343" t="s">
        <v>15</v>
      </c>
      <c r="M343">
        <f t="shared" si="39"/>
        <v>1</v>
      </c>
      <c r="N343">
        <f t="shared" si="40"/>
        <v>1</v>
      </c>
      <c r="P343">
        <f>IF(E343="male",F343,"")</f>
        <v>32</v>
      </c>
      <c r="Q343" t="str">
        <f t="shared" si="41"/>
        <v/>
      </c>
    </row>
    <row r="344" spans="1:17" x14ac:dyDescent="0.35">
      <c r="A344">
        <v>1234</v>
      </c>
      <c r="B344">
        <v>0</v>
      </c>
      <c r="C344">
        <v>3</v>
      </c>
      <c r="D344" t="s">
        <v>503</v>
      </c>
      <c r="E344" t="s">
        <v>11</v>
      </c>
      <c r="G344">
        <v>1</v>
      </c>
      <c r="H344">
        <v>9</v>
      </c>
      <c r="I344" t="s">
        <v>289</v>
      </c>
      <c r="J344">
        <v>69.55</v>
      </c>
      <c r="L344" t="s">
        <v>15</v>
      </c>
      <c r="M344">
        <f t="shared" si="39"/>
        <v>1</v>
      </c>
      <c r="N344">
        <f t="shared" si="40"/>
        <v>0</v>
      </c>
      <c r="Q344">
        <f t="shared" si="41"/>
        <v>58</v>
      </c>
    </row>
    <row r="345" spans="1:17" x14ac:dyDescent="0.35">
      <c r="A345">
        <v>1235</v>
      </c>
      <c r="B345">
        <v>1</v>
      </c>
      <c r="C345">
        <v>1</v>
      </c>
      <c r="D345" t="s">
        <v>504</v>
      </c>
      <c r="E345" t="s">
        <v>14</v>
      </c>
      <c r="F345">
        <v>58</v>
      </c>
      <c r="G345">
        <v>0</v>
      </c>
      <c r="H345">
        <v>1</v>
      </c>
      <c r="I345" t="s">
        <v>505</v>
      </c>
      <c r="J345">
        <v>512.32920000000001</v>
      </c>
      <c r="K345" t="s">
        <v>506</v>
      </c>
      <c r="L345" t="s">
        <v>23</v>
      </c>
      <c r="M345">
        <f t="shared" si="39"/>
        <v>0</v>
      </c>
      <c r="N345">
        <f t="shared" si="40"/>
        <v>1</v>
      </c>
      <c r="P345" t="str">
        <f>IF(E345="male",F345,"")</f>
        <v/>
      </c>
      <c r="Q345" t="str">
        <f t="shared" si="41"/>
        <v/>
      </c>
    </row>
    <row r="346" spans="1:17" x14ac:dyDescent="0.35">
      <c r="A346">
        <v>1236</v>
      </c>
      <c r="B346">
        <v>0</v>
      </c>
      <c r="C346">
        <v>3</v>
      </c>
      <c r="D346" t="s">
        <v>507</v>
      </c>
      <c r="E346" t="s">
        <v>11</v>
      </c>
      <c r="G346">
        <v>1</v>
      </c>
      <c r="H346">
        <v>1</v>
      </c>
      <c r="I346" t="s">
        <v>294</v>
      </c>
      <c r="J346">
        <v>14.5</v>
      </c>
      <c r="L346" t="s">
        <v>15</v>
      </c>
      <c r="M346">
        <f t="shared" si="39"/>
        <v>1</v>
      </c>
      <c r="N346">
        <f t="shared" si="40"/>
        <v>0</v>
      </c>
      <c r="Q346">
        <f t="shared" si="41"/>
        <v>16</v>
      </c>
    </row>
    <row r="347" spans="1:17" x14ac:dyDescent="0.35">
      <c r="A347">
        <v>1237</v>
      </c>
      <c r="B347">
        <v>1</v>
      </c>
      <c r="C347">
        <v>3</v>
      </c>
      <c r="D347" t="s">
        <v>508</v>
      </c>
      <c r="E347" t="s">
        <v>14</v>
      </c>
      <c r="F347">
        <v>16</v>
      </c>
      <c r="G347">
        <v>0</v>
      </c>
      <c r="H347">
        <v>0</v>
      </c>
      <c r="I347">
        <v>348125</v>
      </c>
      <c r="J347">
        <v>7.65</v>
      </c>
      <c r="L347" t="s">
        <v>15</v>
      </c>
      <c r="M347">
        <f t="shared" si="39"/>
        <v>0</v>
      </c>
      <c r="N347">
        <f t="shared" si="40"/>
        <v>1</v>
      </c>
      <c r="P347" t="str">
        <f t="shared" ref="P347:P358" si="43">IF(E347="male",F347,"")</f>
        <v/>
      </c>
      <c r="Q347" t="str">
        <f t="shared" si="41"/>
        <v/>
      </c>
    </row>
    <row r="348" spans="1:17" x14ac:dyDescent="0.35">
      <c r="A348">
        <v>1238</v>
      </c>
      <c r="B348">
        <v>0</v>
      </c>
      <c r="C348">
        <v>2</v>
      </c>
      <c r="D348" t="s">
        <v>509</v>
      </c>
      <c r="E348" t="s">
        <v>11</v>
      </c>
      <c r="F348">
        <v>26</v>
      </c>
      <c r="G348">
        <v>0</v>
      </c>
      <c r="H348">
        <v>0</v>
      </c>
      <c r="I348">
        <v>237670</v>
      </c>
      <c r="J348">
        <v>13</v>
      </c>
      <c r="L348" t="s">
        <v>15</v>
      </c>
      <c r="M348">
        <f t="shared" si="39"/>
        <v>1</v>
      </c>
      <c r="N348">
        <f t="shared" si="40"/>
        <v>0</v>
      </c>
      <c r="P348">
        <f t="shared" si="43"/>
        <v>26</v>
      </c>
      <c r="Q348">
        <f t="shared" si="41"/>
        <v>38</v>
      </c>
    </row>
    <row r="349" spans="1:17" x14ac:dyDescent="0.35">
      <c r="A349">
        <v>1239</v>
      </c>
      <c r="B349">
        <v>1</v>
      </c>
      <c r="C349">
        <v>3</v>
      </c>
      <c r="D349" t="s">
        <v>510</v>
      </c>
      <c r="E349" t="s">
        <v>14</v>
      </c>
      <c r="F349">
        <v>38</v>
      </c>
      <c r="G349">
        <v>0</v>
      </c>
      <c r="H349">
        <v>0</v>
      </c>
      <c r="I349">
        <v>2688</v>
      </c>
      <c r="J349">
        <v>7.2291999999999996</v>
      </c>
      <c r="L349" t="s">
        <v>23</v>
      </c>
      <c r="M349">
        <f t="shared" si="39"/>
        <v>0</v>
      </c>
      <c r="N349">
        <f t="shared" si="40"/>
        <v>1</v>
      </c>
      <c r="P349" t="str">
        <f t="shared" si="43"/>
        <v/>
      </c>
      <c r="Q349" t="str">
        <f t="shared" si="41"/>
        <v/>
      </c>
    </row>
    <row r="350" spans="1:17" x14ac:dyDescent="0.35">
      <c r="A350">
        <v>1240</v>
      </c>
      <c r="B350">
        <v>0</v>
      </c>
      <c r="C350">
        <v>2</v>
      </c>
      <c r="D350" t="s">
        <v>511</v>
      </c>
      <c r="E350" t="s">
        <v>11</v>
      </c>
      <c r="F350">
        <v>24</v>
      </c>
      <c r="G350">
        <v>0</v>
      </c>
      <c r="H350">
        <v>0</v>
      </c>
      <c r="I350">
        <v>248726</v>
      </c>
      <c r="J350">
        <v>13.5</v>
      </c>
      <c r="L350" t="s">
        <v>15</v>
      </c>
      <c r="M350">
        <f t="shared" si="39"/>
        <v>1</v>
      </c>
      <c r="N350">
        <f t="shared" si="40"/>
        <v>0</v>
      </c>
      <c r="P350">
        <f t="shared" si="43"/>
        <v>24</v>
      </c>
      <c r="Q350">
        <f t="shared" si="41"/>
        <v>31</v>
      </c>
    </row>
    <row r="351" spans="1:17" x14ac:dyDescent="0.35">
      <c r="A351">
        <v>1241</v>
      </c>
      <c r="B351">
        <v>1</v>
      </c>
      <c r="C351">
        <v>2</v>
      </c>
      <c r="D351" t="s">
        <v>512</v>
      </c>
      <c r="E351" t="s">
        <v>14</v>
      </c>
      <c r="F351">
        <v>31</v>
      </c>
      <c r="G351">
        <v>0</v>
      </c>
      <c r="H351">
        <v>0</v>
      </c>
      <c r="I351" t="s">
        <v>513</v>
      </c>
      <c r="J351">
        <v>21</v>
      </c>
      <c r="L351" t="s">
        <v>15</v>
      </c>
      <c r="M351">
        <f t="shared" si="39"/>
        <v>0</v>
      </c>
      <c r="N351">
        <f t="shared" si="40"/>
        <v>0</v>
      </c>
      <c r="P351" t="str">
        <f t="shared" si="43"/>
        <v/>
      </c>
      <c r="Q351">
        <f t="shared" si="41"/>
        <v>45</v>
      </c>
    </row>
    <row r="352" spans="1:17" x14ac:dyDescent="0.35">
      <c r="A352">
        <v>1242</v>
      </c>
      <c r="B352">
        <v>1</v>
      </c>
      <c r="C352">
        <v>1</v>
      </c>
      <c r="D352" t="s">
        <v>514</v>
      </c>
      <c r="E352" t="s">
        <v>14</v>
      </c>
      <c r="F352">
        <v>45</v>
      </c>
      <c r="G352">
        <v>0</v>
      </c>
      <c r="H352">
        <v>1</v>
      </c>
      <c r="I352" t="s">
        <v>515</v>
      </c>
      <c r="J352">
        <v>63.3583</v>
      </c>
      <c r="K352" t="s">
        <v>516</v>
      </c>
      <c r="L352" t="s">
        <v>23</v>
      </c>
      <c r="M352">
        <f t="shared" si="39"/>
        <v>0</v>
      </c>
      <c r="N352">
        <f t="shared" si="40"/>
        <v>1</v>
      </c>
      <c r="P352" t="str">
        <f t="shared" si="43"/>
        <v/>
      </c>
      <c r="Q352" t="str">
        <f t="shared" si="41"/>
        <v/>
      </c>
    </row>
    <row r="353" spans="1:17" x14ac:dyDescent="0.35">
      <c r="A353">
        <v>1243</v>
      </c>
      <c r="B353">
        <v>0</v>
      </c>
      <c r="C353">
        <v>2</v>
      </c>
      <c r="D353" t="s">
        <v>517</v>
      </c>
      <c r="E353" t="s">
        <v>11</v>
      </c>
      <c r="F353">
        <v>25</v>
      </c>
      <c r="G353">
        <v>0</v>
      </c>
      <c r="H353">
        <v>0</v>
      </c>
      <c r="I353" t="s">
        <v>518</v>
      </c>
      <c r="J353">
        <v>10.5</v>
      </c>
      <c r="L353" t="s">
        <v>15</v>
      </c>
      <c r="M353">
        <f t="shared" si="39"/>
        <v>1</v>
      </c>
      <c r="N353">
        <f t="shared" si="40"/>
        <v>1</v>
      </c>
      <c r="P353">
        <f t="shared" si="43"/>
        <v>25</v>
      </c>
      <c r="Q353" t="str">
        <f t="shared" si="41"/>
        <v/>
      </c>
    </row>
    <row r="354" spans="1:17" x14ac:dyDescent="0.35">
      <c r="A354">
        <v>1244</v>
      </c>
      <c r="B354">
        <v>0</v>
      </c>
      <c r="C354">
        <v>2</v>
      </c>
      <c r="D354" t="s">
        <v>519</v>
      </c>
      <c r="E354" t="s">
        <v>11</v>
      </c>
      <c r="F354">
        <v>18</v>
      </c>
      <c r="G354">
        <v>0</v>
      </c>
      <c r="H354">
        <v>0</v>
      </c>
      <c r="I354" t="s">
        <v>324</v>
      </c>
      <c r="J354">
        <v>73.5</v>
      </c>
      <c r="L354" t="s">
        <v>15</v>
      </c>
      <c r="M354">
        <f t="shared" si="39"/>
        <v>1</v>
      </c>
      <c r="N354">
        <f t="shared" si="40"/>
        <v>1</v>
      </c>
      <c r="P354">
        <f t="shared" si="43"/>
        <v>18</v>
      </c>
      <c r="Q354" t="str">
        <f t="shared" si="41"/>
        <v/>
      </c>
    </row>
    <row r="355" spans="1:17" x14ac:dyDescent="0.35">
      <c r="A355">
        <v>1245</v>
      </c>
      <c r="B355">
        <v>0</v>
      </c>
      <c r="C355">
        <v>2</v>
      </c>
      <c r="D355" t="s">
        <v>520</v>
      </c>
      <c r="E355" t="s">
        <v>11</v>
      </c>
      <c r="F355">
        <v>49</v>
      </c>
      <c r="G355">
        <v>1</v>
      </c>
      <c r="H355">
        <v>2</v>
      </c>
      <c r="I355">
        <v>220845</v>
      </c>
      <c r="J355">
        <v>65</v>
      </c>
      <c r="L355" t="s">
        <v>15</v>
      </c>
      <c r="M355">
        <f t="shared" si="39"/>
        <v>1</v>
      </c>
      <c r="N355">
        <f t="shared" si="40"/>
        <v>0</v>
      </c>
      <c r="P355">
        <f t="shared" si="43"/>
        <v>49</v>
      </c>
      <c r="Q355">
        <f t="shared" si="41"/>
        <v>0.17</v>
      </c>
    </row>
    <row r="356" spans="1:17" x14ac:dyDescent="0.35">
      <c r="A356">
        <v>1246</v>
      </c>
      <c r="B356">
        <v>1</v>
      </c>
      <c r="C356">
        <v>3</v>
      </c>
      <c r="D356" t="s">
        <v>521</v>
      </c>
      <c r="E356" t="s">
        <v>14</v>
      </c>
      <c r="F356">
        <v>0.17</v>
      </c>
      <c r="G356">
        <v>1</v>
      </c>
      <c r="H356">
        <v>2</v>
      </c>
      <c r="I356" t="s">
        <v>65</v>
      </c>
      <c r="J356">
        <v>20.574999999999999</v>
      </c>
      <c r="L356" t="s">
        <v>15</v>
      </c>
      <c r="M356">
        <f t="shared" si="39"/>
        <v>0</v>
      </c>
      <c r="N356">
        <f t="shared" si="40"/>
        <v>1</v>
      </c>
      <c r="P356" t="str">
        <f t="shared" si="43"/>
        <v/>
      </c>
      <c r="Q356" t="str">
        <f t="shared" si="41"/>
        <v/>
      </c>
    </row>
    <row r="357" spans="1:17" x14ac:dyDescent="0.35">
      <c r="A357">
        <v>1247</v>
      </c>
      <c r="B357">
        <v>0</v>
      </c>
      <c r="C357">
        <v>1</v>
      </c>
      <c r="D357" t="s">
        <v>522</v>
      </c>
      <c r="E357" t="s">
        <v>11</v>
      </c>
      <c r="F357">
        <v>50</v>
      </c>
      <c r="G357">
        <v>0</v>
      </c>
      <c r="H357">
        <v>0</v>
      </c>
      <c r="I357">
        <v>113044</v>
      </c>
      <c r="J357">
        <v>26</v>
      </c>
      <c r="K357" t="s">
        <v>523</v>
      </c>
      <c r="L357" t="s">
        <v>15</v>
      </c>
      <c r="M357">
        <f t="shared" si="39"/>
        <v>1</v>
      </c>
      <c r="N357">
        <f t="shared" si="40"/>
        <v>0</v>
      </c>
      <c r="P357">
        <f t="shared" si="43"/>
        <v>50</v>
      </c>
      <c r="Q357">
        <f t="shared" si="41"/>
        <v>59</v>
      </c>
    </row>
    <row r="358" spans="1:17" x14ac:dyDescent="0.35">
      <c r="A358">
        <v>1248</v>
      </c>
      <c r="B358">
        <v>1</v>
      </c>
      <c r="C358">
        <v>1</v>
      </c>
      <c r="D358" t="s">
        <v>524</v>
      </c>
      <c r="E358" t="s">
        <v>14</v>
      </c>
      <c r="F358">
        <v>59</v>
      </c>
      <c r="G358">
        <v>2</v>
      </c>
      <c r="H358">
        <v>0</v>
      </c>
      <c r="I358">
        <v>11769</v>
      </c>
      <c r="J358">
        <v>51.479199999999999</v>
      </c>
      <c r="K358" t="s">
        <v>133</v>
      </c>
      <c r="L358" t="s">
        <v>15</v>
      </c>
      <c r="M358">
        <f t="shared" si="39"/>
        <v>0</v>
      </c>
      <c r="N358">
        <f t="shared" si="40"/>
        <v>1</v>
      </c>
      <c r="P358" t="str">
        <f t="shared" si="43"/>
        <v/>
      </c>
      <c r="Q358" t="str">
        <f t="shared" si="41"/>
        <v/>
      </c>
    </row>
    <row r="359" spans="1:17" x14ac:dyDescent="0.35">
      <c r="A359">
        <v>1249</v>
      </c>
      <c r="B359">
        <v>0</v>
      </c>
      <c r="C359">
        <v>3</v>
      </c>
      <c r="D359" t="s">
        <v>525</v>
      </c>
      <c r="E359" t="s">
        <v>11</v>
      </c>
      <c r="G359">
        <v>0</v>
      </c>
      <c r="H359">
        <v>0</v>
      </c>
      <c r="I359">
        <v>1222</v>
      </c>
      <c r="J359">
        <v>7.8792</v>
      </c>
      <c r="L359" t="s">
        <v>15</v>
      </c>
      <c r="M359">
        <f t="shared" si="39"/>
        <v>1</v>
      </c>
      <c r="N359">
        <f t="shared" si="40"/>
        <v>1</v>
      </c>
      <c r="Q359" t="str">
        <f t="shared" si="41"/>
        <v/>
      </c>
    </row>
    <row r="360" spans="1:17" x14ac:dyDescent="0.35">
      <c r="A360">
        <v>1250</v>
      </c>
      <c r="B360">
        <v>0</v>
      </c>
      <c r="C360">
        <v>3</v>
      </c>
      <c r="D360" t="s">
        <v>526</v>
      </c>
      <c r="E360" t="s">
        <v>11</v>
      </c>
      <c r="G360">
        <v>0</v>
      </c>
      <c r="H360">
        <v>0</v>
      </c>
      <c r="I360">
        <v>368402</v>
      </c>
      <c r="J360">
        <v>7.75</v>
      </c>
      <c r="L360" t="s">
        <v>12</v>
      </c>
      <c r="M360">
        <f t="shared" si="39"/>
        <v>1</v>
      </c>
      <c r="N360">
        <f t="shared" si="40"/>
        <v>0</v>
      </c>
      <c r="Q360">
        <f t="shared" si="41"/>
        <v>30</v>
      </c>
    </row>
    <row r="361" spans="1:17" x14ac:dyDescent="0.35">
      <c r="A361">
        <v>1251</v>
      </c>
      <c r="B361">
        <v>1</v>
      </c>
      <c r="C361">
        <v>3</v>
      </c>
      <c r="D361" t="s">
        <v>527</v>
      </c>
      <c r="E361" t="s">
        <v>14</v>
      </c>
      <c r="F361">
        <v>30</v>
      </c>
      <c r="G361">
        <v>1</v>
      </c>
      <c r="H361">
        <v>0</v>
      </c>
      <c r="I361">
        <v>349910</v>
      </c>
      <c r="J361">
        <v>15.55</v>
      </c>
      <c r="L361" t="s">
        <v>15</v>
      </c>
      <c r="M361">
        <f t="shared" si="39"/>
        <v>0</v>
      </c>
      <c r="N361">
        <f t="shared" si="40"/>
        <v>1</v>
      </c>
      <c r="P361" t="str">
        <f t="shared" ref="P361:P367" si="44">IF(E361="male",F361,"")</f>
        <v/>
      </c>
      <c r="Q361" t="str">
        <f t="shared" si="41"/>
        <v/>
      </c>
    </row>
    <row r="362" spans="1:17" x14ac:dyDescent="0.35">
      <c r="A362">
        <v>1252</v>
      </c>
      <c r="B362">
        <v>0</v>
      </c>
      <c r="C362">
        <v>3</v>
      </c>
      <c r="D362" t="s">
        <v>528</v>
      </c>
      <c r="E362" t="s">
        <v>11</v>
      </c>
      <c r="F362">
        <v>14.5</v>
      </c>
      <c r="G362">
        <v>8</v>
      </c>
      <c r="H362">
        <v>2</v>
      </c>
      <c r="I362" t="s">
        <v>289</v>
      </c>
      <c r="J362">
        <v>69.55</v>
      </c>
      <c r="L362" t="s">
        <v>15</v>
      </c>
      <c r="M362">
        <f t="shared" si="39"/>
        <v>1</v>
      </c>
      <c r="N362">
        <f t="shared" si="40"/>
        <v>0</v>
      </c>
      <c r="P362">
        <f t="shared" si="44"/>
        <v>14.5</v>
      </c>
      <c r="Q362">
        <f t="shared" si="41"/>
        <v>24</v>
      </c>
    </row>
    <row r="363" spans="1:17" x14ac:dyDescent="0.35">
      <c r="A363">
        <v>1253</v>
      </c>
      <c r="B363">
        <v>1</v>
      </c>
      <c r="C363">
        <v>2</v>
      </c>
      <c r="D363" t="s">
        <v>529</v>
      </c>
      <c r="E363" t="s">
        <v>14</v>
      </c>
      <c r="F363">
        <v>24</v>
      </c>
      <c r="G363">
        <v>1</v>
      </c>
      <c r="H363">
        <v>1</v>
      </c>
      <c r="I363" t="s">
        <v>530</v>
      </c>
      <c r="J363">
        <v>37.004199999999997</v>
      </c>
      <c r="L363" t="s">
        <v>23</v>
      </c>
      <c r="M363">
        <f t="shared" si="39"/>
        <v>0</v>
      </c>
      <c r="N363">
        <f t="shared" si="40"/>
        <v>0</v>
      </c>
      <c r="P363" t="str">
        <f t="shared" si="44"/>
        <v/>
      </c>
      <c r="Q363">
        <f t="shared" si="41"/>
        <v>31</v>
      </c>
    </row>
    <row r="364" spans="1:17" x14ac:dyDescent="0.35">
      <c r="A364">
        <v>1254</v>
      </c>
      <c r="B364">
        <v>1</v>
      </c>
      <c r="C364">
        <v>2</v>
      </c>
      <c r="D364" t="s">
        <v>531</v>
      </c>
      <c r="E364" t="s">
        <v>14</v>
      </c>
      <c r="F364">
        <v>31</v>
      </c>
      <c r="G364">
        <v>0</v>
      </c>
      <c r="H364">
        <v>0</v>
      </c>
      <c r="I364" t="s">
        <v>413</v>
      </c>
      <c r="J364">
        <v>21</v>
      </c>
      <c r="L364" t="s">
        <v>15</v>
      </c>
      <c r="M364">
        <f t="shared" si="39"/>
        <v>0</v>
      </c>
      <c r="N364">
        <f t="shared" si="40"/>
        <v>1</v>
      </c>
      <c r="P364" t="str">
        <f t="shared" si="44"/>
        <v/>
      </c>
      <c r="Q364" t="str">
        <f t="shared" si="41"/>
        <v/>
      </c>
    </row>
    <row r="365" spans="1:17" x14ac:dyDescent="0.35">
      <c r="A365">
        <v>1255</v>
      </c>
      <c r="B365">
        <v>0</v>
      </c>
      <c r="C365">
        <v>3</v>
      </c>
      <c r="D365" t="s">
        <v>532</v>
      </c>
      <c r="E365" t="s">
        <v>11</v>
      </c>
      <c r="F365">
        <v>27</v>
      </c>
      <c r="G365">
        <v>0</v>
      </c>
      <c r="H365">
        <v>0</v>
      </c>
      <c r="I365">
        <v>315083</v>
      </c>
      <c r="J365">
        <v>8.6624999999999996</v>
      </c>
      <c r="L365" t="s">
        <v>15</v>
      </c>
      <c r="M365">
        <f t="shared" si="39"/>
        <v>1</v>
      </c>
      <c r="N365">
        <f t="shared" si="40"/>
        <v>0</v>
      </c>
      <c r="P365">
        <f t="shared" si="44"/>
        <v>27</v>
      </c>
      <c r="Q365">
        <f t="shared" si="41"/>
        <v>25</v>
      </c>
    </row>
    <row r="366" spans="1:17" x14ac:dyDescent="0.35">
      <c r="A366">
        <v>1256</v>
      </c>
      <c r="B366">
        <v>1</v>
      </c>
      <c r="C366">
        <v>1</v>
      </c>
      <c r="D366" t="s">
        <v>533</v>
      </c>
      <c r="E366" t="s">
        <v>14</v>
      </c>
      <c r="F366">
        <v>25</v>
      </c>
      <c r="G366">
        <v>1</v>
      </c>
      <c r="H366">
        <v>0</v>
      </c>
      <c r="I366">
        <v>11765</v>
      </c>
      <c r="J366">
        <v>55.441699999999997</v>
      </c>
      <c r="K366" t="s">
        <v>534</v>
      </c>
      <c r="L366" t="s">
        <v>23</v>
      </c>
      <c r="M366">
        <f t="shared" si="39"/>
        <v>0</v>
      </c>
      <c r="N366">
        <f t="shared" si="40"/>
        <v>0</v>
      </c>
      <c r="P366" t="str">
        <f t="shared" si="44"/>
        <v/>
      </c>
      <c r="Q366">
        <f t="shared" si="41"/>
        <v>0</v>
      </c>
    </row>
    <row r="367" spans="1:17" x14ac:dyDescent="0.35">
      <c r="A367">
        <v>1257</v>
      </c>
      <c r="B367">
        <v>1</v>
      </c>
      <c r="C367">
        <v>3</v>
      </c>
      <c r="D367" t="s">
        <v>535</v>
      </c>
      <c r="E367" t="s">
        <v>14</v>
      </c>
      <c r="G367">
        <v>1</v>
      </c>
      <c r="H367">
        <v>9</v>
      </c>
      <c r="I367" t="s">
        <v>289</v>
      </c>
      <c r="J367">
        <v>69.55</v>
      </c>
      <c r="L367" t="s">
        <v>15</v>
      </c>
      <c r="M367">
        <f t="shared" si="39"/>
        <v>0</v>
      </c>
      <c r="N367">
        <f t="shared" si="40"/>
        <v>1</v>
      </c>
      <c r="P367" t="str">
        <f t="shared" si="44"/>
        <v/>
      </c>
      <c r="Q367" t="str">
        <f t="shared" si="41"/>
        <v/>
      </c>
    </row>
    <row r="368" spans="1:17" x14ac:dyDescent="0.35">
      <c r="A368">
        <v>1258</v>
      </c>
      <c r="B368">
        <v>0</v>
      </c>
      <c r="C368">
        <v>3</v>
      </c>
      <c r="D368" t="s">
        <v>536</v>
      </c>
      <c r="E368" t="s">
        <v>11</v>
      </c>
      <c r="G368">
        <v>1</v>
      </c>
      <c r="H368">
        <v>0</v>
      </c>
      <c r="I368">
        <v>2689</v>
      </c>
      <c r="J368">
        <v>14.458299999999999</v>
      </c>
      <c r="L368" t="s">
        <v>23</v>
      </c>
      <c r="M368">
        <f t="shared" si="39"/>
        <v>1</v>
      </c>
      <c r="N368">
        <f t="shared" si="40"/>
        <v>0</v>
      </c>
      <c r="Q368">
        <f t="shared" si="41"/>
        <v>22</v>
      </c>
    </row>
    <row r="369" spans="1:17" x14ac:dyDescent="0.35">
      <c r="A369">
        <v>1259</v>
      </c>
      <c r="B369">
        <v>1</v>
      </c>
      <c r="C369">
        <v>3</v>
      </c>
      <c r="D369" t="s">
        <v>537</v>
      </c>
      <c r="E369" t="s">
        <v>14</v>
      </c>
      <c r="F369">
        <v>22</v>
      </c>
      <c r="G369">
        <v>0</v>
      </c>
      <c r="H369">
        <v>0</v>
      </c>
      <c r="I369">
        <v>3101295</v>
      </c>
      <c r="J369">
        <v>39.6875</v>
      </c>
      <c r="L369" t="s">
        <v>15</v>
      </c>
      <c r="M369">
        <f t="shared" si="39"/>
        <v>0</v>
      </c>
      <c r="N369">
        <f t="shared" si="40"/>
        <v>0</v>
      </c>
      <c r="P369" t="str">
        <f t="shared" ref="P369:P381" si="45">IF(E369="male",F369,"")</f>
        <v/>
      </c>
      <c r="Q369">
        <f t="shared" si="41"/>
        <v>45</v>
      </c>
    </row>
    <row r="370" spans="1:17" x14ac:dyDescent="0.35">
      <c r="A370">
        <v>1260</v>
      </c>
      <c r="B370">
        <v>1</v>
      </c>
      <c r="C370">
        <v>1</v>
      </c>
      <c r="D370" t="s">
        <v>538</v>
      </c>
      <c r="E370" t="s">
        <v>14</v>
      </c>
      <c r="F370">
        <v>45</v>
      </c>
      <c r="G370">
        <v>0</v>
      </c>
      <c r="H370">
        <v>1</v>
      </c>
      <c r="I370">
        <v>112378</v>
      </c>
      <c r="J370">
        <v>59.4</v>
      </c>
      <c r="L370" t="s">
        <v>23</v>
      </c>
      <c r="M370">
        <f t="shared" si="39"/>
        <v>0</v>
      </c>
      <c r="N370">
        <f t="shared" si="40"/>
        <v>1</v>
      </c>
      <c r="P370" t="str">
        <f t="shared" si="45"/>
        <v/>
      </c>
      <c r="Q370" t="str">
        <f t="shared" si="41"/>
        <v/>
      </c>
    </row>
    <row r="371" spans="1:17" x14ac:dyDescent="0.35">
      <c r="A371">
        <v>1261</v>
      </c>
      <c r="B371">
        <v>0</v>
      </c>
      <c r="C371">
        <v>2</v>
      </c>
      <c r="D371" t="s">
        <v>539</v>
      </c>
      <c r="E371" t="s">
        <v>11</v>
      </c>
      <c r="F371">
        <v>29</v>
      </c>
      <c r="G371">
        <v>0</v>
      </c>
      <c r="H371">
        <v>0</v>
      </c>
      <c r="I371" t="s">
        <v>540</v>
      </c>
      <c r="J371">
        <v>13.8583</v>
      </c>
      <c r="L371" t="s">
        <v>23</v>
      </c>
      <c r="M371">
        <f t="shared" si="39"/>
        <v>1</v>
      </c>
      <c r="N371">
        <f t="shared" si="40"/>
        <v>1</v>
      </c>
      <c r="P371">
        <f t="shared" si="45"/>
        <v>29</v>
      </c>
      <c r="Q371" t="str">
        <f t="shared" si="41"/>
        <v/>
      </c>
    </row>
    <row r="372" spans="1:17" x14ac:dyDescent="0.35">
      <c r="A372">
        <v>1262</v>
      </c>
      <c r="B372">
        <v>0</v>
      </c>
      <c r="C372">
        <v>2</v>
      </c>
      <c r="D372" t="s">
        <v>541</v>
      </c>
      <c r="E372" t="s">
        <v>11</v>
      </c>
      <c r="F372">
        <v>21</v>
      </c>
      <c r="G372">
        <v>1</v>
      </c>
      <c r="H372">
        <v>0</v>
      </c>
      <c r="I372">
        <v>28133</v>
      </c>
      <c r="J372">
        <v>11.5</v>
      </c>
      <c r="L372" t="s">
        <v>15</v>
      </c>
      <c r="M372">
        <f t="shared" si="39"/>
        <v>1</v>
      </c>
      <c r="N372">
        <f t="shared" si="40"/>
        <v>0</v>
      </c>
      <c r="P372">
        <f t="shared" si="45"/>
        <v>21</v>
      </c>
      <c r="Q372">
        <f t="shared" si="41"/>
        <v>31</v>
      </c>
    </row>
    <row r="373" spans="1:17" x14ac:dyDescent="0.35">
      <c r="A373">
        <v>1263</v>
      </c>
      <c r="B373">
        <v>1</v>
      </c>
      <c r="C373">
        <v>1</v>
      </c>
      <c r="D373" t="s">
        <v>542</v>
      </c>
      <c r="E373" t="s">
        <v>14</v>
      </c>
      <c r="F373">
        <v>31</v>
      </c>
      <c r="G373">
        <v>0</v>
      </c>
      <c r="H373">
        <v>0</v>
      </c>
      <c r="I373">
        <v>16966</v>
      </c>
      <c r="J373">
        <v>134.5</v>
      </c>
      <c r="K373" t="s">
        <v>543</v>
      </c>
      <c r="L373" t="s">
        <v>23</v>
      </c>
      <c r="M373">
        <f t="shared" si="39"/>
        <v>0</v>
      </c>
      <c r="N373">
        <f t="shared" si="40"/>
        <v>1</v>
      </c>
      <c r="P373" t="str">
        <f t="shared" si="45"/>
        <v/>
      </c>
      <c r="Q373" t="str">
        <f t="shared" si="41"/>
        <v/>
      </c>
    </row>
    <row r="374" spans="1:17" x14ac:dyDescent="0.35">
      <c r="A374">
        <v>1264</v>
      </c>
      <c r="B374">
        <v>0</v>
      </c>
      <c r="C374">
        <v>1</v>
      </c>
      <c r="D374" t="s">
        <v>544</v>
      </c>
      <c r="E374" t="s">
        <v>11</v>
      </c>
      <c r="F374">
        <v>49</v>
      </c>
      <c r="G374">
        <v>0</v>
      </c>
      <c r="H374">
        <v>0</v>
      </c>
      <c r="I374">
        <v>112058</v>
      </c>
      <c r="J374">
        <v>0</v>
      </c>
      <c r="K374" t="s">
        <v>545</v>
      </c>
      <c r="L374" t="s">
        <v>15</v>
      </c>
      <c r="M374">
        <f t="shared" si="39"/>
        <v>1</v>
      </c>
      <c r="N374">
        <f t="shared" si="40"/>
        <v>1</v>
      </c>
      <c r="P374">
        <f t="shared" si="45"/>
        <v>49</v>
      </c>
      <c r="Q374" t="str">
        <f t="shared" si="41"/>
        <v/>
      </c>
    </row>
    <row r="375" spans="1:17" x14ac:dyDescent="0.35">
      <c r="A375">
        <v>1265</v>
      </c>
      <c r="B375">
        <v>0</v>
      </c>
      <c r="C375">
        <v>2</v>
      </c>
      <c r="D375" t="s">
        <v>546</v>
      </c>
      <c r="E375" t="s">
        <v>11</v>
      </c>
      <c r="F375">
        <v>44</v>
      </c>
      <c r="G375">
        <v>0</v>
      </c>
      <c r="H375">
        <v>0</v>
      </c>
      <c r="I375">
        <v>248746</v>
      </c>
      <c r="J375">
        <v>13</v>
      </c>
      <c r="L375" t="s">
        <v>15</v>
      </c>
      <c r="M375">
        <f t="shared" si="39"/>
        <v>1</v>
      </c>
      <c r="N375">
        <f t="shared" si="40"/>
        <v>0</v>
      </c>
      <c r="P375">
        <f t="shared" si="45"/>
        <v>44</v>
      </c>
      <c r="Q375">
        <f t="shared" si="41"/>
        <v>54</v>
      </c>
    </row>
    <row r="376" spans="1:17" x14ac:dyDescent="0.35">
      <c r="A376">
        <v>1266</v>
      </c>
      <c r="B376">
        <v>1</v>
      </c>
      <c r="C376">
        <v>1</v>
      </c>
      <c r="D376" t="s">
        <v>547</v>
      </c>
      <c r="E376" t="s">
        <v>14</v>
      </c>
      <c r="F376">
        <v>54</v>
      </c>
      <c r="G376">
        <v>1</v>
      </c>
      <c r="H376">
        <v>1</v>
      </c>
      <c r="I376">
        <v>33638</v>
      </c>
      <c r="J376">
        <v>81.8583</v>
      </c>
      <c r="K376" t="s">
        <v>435</v>
      </c>
      <c r="L376" t="s">
        <v>15</v>
      </c>
      <c r="M376">
        <f t="shared" si="39"/>
        <v>0</v>
      </c>
      <c r="N376">
        <f t="shared" si="40"/>
        <v>0</v>
      </c>
      <c r="P376" t="str">
        <f t="shared" si="45"/>
        <v/>
      </c>
      <c r="Q376">
        <f t="shared" si="41"/>
        <v>45</v>
      </c>
    </row>
    <row r="377" spans="1:17" x14ac:dyDescent="0.35">
      <c r="A377">
        <v>1267</v>
      </c>
      <c r="B377">
        <v>1</v>
      </c>
      <c r="C377">
        <v>1</v>
      </c>
      <c r="D377" t="s">
        <v>548</v>
      </c>
      <c r="E377" t="s">
        <v>14</v>
      </c>
      <c r="F377">
        <v>45</v>
      </c>
      <c r="G377">
        <v>0</v>
      </c>
      <c r="H377">
        <v>0</v>
      </c>
      <c r="I377" t="s">
        <v>50</v>
      </c>
      <c r="J377">
        <v>262.375</v>
      </c>
      <c r="L377" t="s">
        <v>23</v>
      </c>
      <c r="M377">
        <f t="shared" si="39"/>
        <v>0</v>
      </c>
      <c r="N377">
        <f t="shared" si="40"/>
        <v>0</v>
      </c>
      <c r="P377" t="str">
        <f t="shared" si="45"/>
        <v/>
      </c>
      <c r="Q377">
        <f t="shared" si="41"/>
        <v>22</v>
      </c>
    </row>
    <row r="378" spans="1:17" x14ac:dyDescent="0.35">
      <c r="A378">
        <v>1268</v>
      </c>
      <c r="B378">
        <v>1</v>
      </c>
      <c r="C378">
        <v>3</v>
      </c>
      <c r="D378" t="s">
        <v>549</v>
      </c>
      <c r="E378" t="s">
        <v>14</v>
      </c>
      <c r="F378">
        <v>22</v>
      </c>
      <c r="G378">
        <v>2</v>
      </c>
      <c r="H378">
        <v>0</v>
      </c>
      <c r="I378">
        <v>315152</v>
      </c>
      <c r="J378">
        <v>8.6624999999999996</v>
      </c>
      <c r="L378" t="s">
        <v>15</v>
      </c>
      <c r="M378">
        <f t="shared" si="39"/>
        <v>0</v>
      </c>
      <c r="N378">
        <f t="shared" si="40"/>
        <v>1</v>
      </c>
      <c r="P378" t="str">
        <f t="shared" si="45"/>
        <v/>
      </c>
      <c r="Q378" t="str">
        <f t="shared" si="41"/>
        <v/>
      </c>
    </row>
    <row r="379" spans="1:17" x14ac:dyDescent="0.35">
      <c r="A379">
        <v>1269</v>
      </c>
      <c r="B379">
        <v>0</v>
      </c>
      <c r="C379">
        <v>2</v>
      </c>
      <c r="D379" t="s">
        <v>550</v>
      </c>
      <c r="E379" t="s">
        <v>11</v>
      </c>
      <c r="F379">
        <v>21</v>
      </c>
      <c r="G379">
        <v>0</v>
      </c>
      <c r="H379">
        <v>0</v>
      </c>
      <c r="I379">
        <v>29107</v>
      </c>
      <c r="J379">
        <v>11.5</v>
      </c>
      <c r="L379" t="s">
        <v>15</v>
      </c>
      <c r="M379">
        <f t="shared" si="39"/>
        <v>1</v>
      </c>
      <c r="N379">
        <f t="shared" si="40"/>
        <v>1</v>
      </c>
      <c r="P379">
        <f t="shared" si="45"/>
        <v>21</v>
      </c>
      <c r="Q379" t="str">
        <f t="shared" si="41"/>
        <v/>
      </c>
    </row>
    <row r="380" spans="1:17" x14ac:dyDescent="0.35">
      <c r="A380">
        <v>1270</v>
      </c>
      <c r="B380">
        <v>0</v>
      </c>
      <c r="C380">
        <v>1</v>
      </c>
      <c r="D380" t="s">
        <v>551</v>
      </c>
      <c r="E380" t="s">
        <v>11</v>
      </c>
      <c r="F380">
        <v>55</v>
      </c>
      <c r="G380">
        <v>0</v>
      </c>
      <c r="H380">
        <v>0</v>
      </c>
      <c r="I380">
        <v>680</v>
      </c>
      <c r="J380">
        <v>50</v>
      </c>
      <c r="K380" t="s">
        <v>552</v>
      </c>
      <c r="L380" t="s">
        <v>15</v>
      </c>
      <c r="M380">
        <f t="shared" si="39"/>
        <v>1</v>
      </c>
      <c r="N380">
        <f t="shared" si="40"/>
        <v>1</v>
      </c>
      <c r="P380">
        <f t="shared" si="45"/>
        <v>55</v>
      </c>
      <c r="Q380" t="str">
        <f t="shared" si="41"/>
        <v/>
      </c>
    </row>
    <row r="381" spans="1:17" x14ac:dyDescent="0.35">
      <c r="A381">
        <v>1271</v>
      </c>
      <c r="B381">
        <v>0</v>
      </c>
      <c r="C381">
        <v>3</v>
      </c>
      <c r="D381" t="s">
        <v>553</v>
      </c>
      <c r="E381" t="s">
        <v>11</v>
      </c>
      <c r="F381">
        <v>5</v>
      </c>
      <c r="G381">
        <v>4</v>
      </c>
      <c r="H381">
        <v>2</v>
      </c>
      <c r="I381">
        <v>347077</v>
      </c>
      <c r="J381">
        <v>31.387499999999999</v>
      </c>
      <c r="L381" t="s">
        <v>15</v>
      </c>
      <c r="M381">
        <f t="shared" si="39"/>
        <v>1</v>
      </c>
      <c r="N381">
        <f t="shared" si="40"/>
        <v>1</v>
      </c>
      <c r="P381">
        <f t="shared" si="45"/>
        <v>5</v>
      </c>
      <c r="Q381" t="str">
        <f t="shared" si="41"/>
        <v/>
      </c>
    </row>
    <row r="382" spans="1:17" x14ac:dyDescent="0.35">
      <c r="A382">
        <v>1272</v>
      </c>
      <c r="B382">
        <v>0</v>
      </c>
      <c r="C382">
        <v>3</v>
      </c>
      <c r="D382" t="s">
        <v>554</v>
      </c>
      <c r="E382" t="s">
        <v>11</v>
      </c>
      <c r="G382">
        <v>0</v>
      </c>
      <c r="H382">
        <v>0</v>
      </c>
      <c r="I382">
        <v>366713</v>
      </c>
      <c r="J382">
        <v>7.75</v>
      </c>
      <c r="L382" t="s">
        <v>12</v>
      </c>
      <c r="M382">
        <f t="shared" si="39"/>
        <v>1</v>
      </c>
      <c r="N382">
        <f t="shared" si="40"/>
        <v>1</v>
      </c>
      <c r="Q382" t="str">
        <f t="shared" si="41"/>
        <v/>
      </c>
    </row>
    <row r="383" spans="1:17" x14ac:dyDescent="0.35">
      <c r="A383">
        <v>1273</v>
      </c>
      <c r="B383">
        <v>0</v>
      </c>
      <c r="C383">
        <v>3</v>
      </c>
      <c r="D383" t="s">
        <v>555</v>
      </c>
      <c r="E383" t="s">
        <v>11</v>
      </c>
      <c r="F383">
        <v>26</v>
      </c>
      <c r="G383">
        <v>0</v>
      </c>
      <c r="H383">
        <v>0</v>
      </c>
      <c r="I383">
        <v>330910</v>
      </c>
      <c r="J383">
        <v>7.8792</v>
      </c>
      <c r="L383" t="s">
        <v>12</v>
      </c>
      <c r="M383">
        <f t="shared" si="39"/>
        <v>1</v>
      </c>
      <c r="N383">
        <f t="shared" si="40"/>
        <v>0</v>
      </c>
      <c r="P383">
        <f>IF(E383="male",F383,"")</f>
        <v>26</v>
      </c>
      <c r="Q383">
        <f t="shared" si="41"/>
        <v>0</v>
      </c>
    </row>
    <row r="384" spans="1:17" x14ac:dyDescent="0.35">
      <c r="A384">
        <v>1274</v>
      </c>
      <c r="B384">
        <v>1</v>
      </c>
      <c r="C384">
        <v>3</v>
      </c>
      <c r="D384" t="s">
        <v>556</v>
      </c>
      <c r="E384" t="s">
        <v>14</v>
      </c>
      <c r="G384">
        <v>0</v>
      </c>
      <c r="H384">
        <v>0</v>
      </c>
      <c r="I384">
        <v>364498</v>
      </c>
      <c r="J384">
        <v>14.5</v>
      </c>
      <c r="L384" t="s">
        <v>15</v>
      </c>
      <c r="M384">
        <f t="shared" si="39"/>
        <v>0</v>
      </c>
      <c r="N384">
        <f t="shared" si="40"/>
        <v>0</v>
      </c>
      <c r="P384" t="str">
        <f>IF(E384="male",F384,"")</f>
        <v/>
      </c>
      <c r="Q384">
        <f t="shared" si="41"/>
        <v>19</v>
      </c>
    </row>
    <row r="385" spans="1:17" x14ac:dyDescent="0.35">
      <c r="A385">
        <v>1275</v>
      </c>
      <c r="B385">
        <v>1</v>
      </c>
      <c r="C385">
        <v>3</v>
      </c>
      <c r="D385" t="s">
        <v>557</v>
      </c>
      <c r="E385" t="s">
        <v>14</v>
      </c>
      <c r="F385">
        <v>19</v>
      </c>
      <c r="G385">
        <v>1</v>
      </c>
      <c r="H385">
        <v>0</v>
      </c>
      <c r="I385">
        <v>376566</v>
      </c>
      <c r="J385">
        <v>16.100000000000001</v>
      </c>
      <c r="L385" t="s">
        <v>15</v>
      </c>
      <c r="M385">
        <f t="shared" si="39"/>
        <v>0</v>
      </c>
      <c r="N385">
        <f t="shared" si="40"/>
        <v>1</v>
      </c>
      <c r="P385" t="str">
        <f>IF(E385="male",F385,"")</f>
        <v/>
      </c>
      <c r="Q385" t="str">
        <f t="shared" si="41"/>
        <v/>
      </c>
    </row>
    <row r="386" spans="1:17" x14ac:dyDescent="0.35">
      <c r="A386">
        <v>1276</v>
      </c>
      <c r="B386">
        <v>0</v>
      </c>
      <c r="C386">
        <v>2</v>
      </c>
      <c r="D386" t="s">
        <v>558</v>
      </c>
      <c r="E386" t="s">
        <v>11</v>
      </c>
      <c r="G386">
        <v>0</v>
      </c>
      <c r="H386">
        <v>0</v>
      </c>
      <c r="I386" t="s">
        <v>559</v>
      </c>
      <c r="J386">
        <v>12.875</v>
      </c>
      <c r="L386" t="s">
        <v>15</v>
      </c>
      <c r="M386">
        <f t="shared" si="39"/>
        <v>1</v>
      </c>
      <c r="N386">
        <f t="shared" si="40"/>
        <v>0</v>
      </c>
      <c r="Q386">
        <f t="shared" si="41"/>
        <v>24</v>
      </c>
    </row>
    <row r="387" spans="1:17" x14ac:dyDescent="0.35">
      <c r="A387">
        <v>1277</v>
      </c>
      <c r="B387">
        <v>1</v>
      </c>
      <c r="C387">
        <v>2</v>
      </c>
      <c r="D387" t="s">
        <v>560</v>
      </c>
      <c r="E387" t="s">
        <v>14</v>
      </c>
      <c r="F387">
        <v>24</v>
      </c>
      <c r="G387">
        <v>1</v>
      </c>
      <c r="H387">
        <v>2</v>
      </c>
      <c r="I387">
        <v>220845</v>
      </c>
      <c r="J387">
        <v>65</v>
      </c>
      <c r="L387" t="s">
        <v>15</v>
      </c>
      <c r="M387">
        <f t="shared" ref="M387:M419" si="46">IF(E387="male",1,0)</f>
        <v>0</v>
      </c>
      <c r="N387">
        <f t="shared" ref="N387:N419" si="47">IF(E388="female",0,1)</f>
        <v>1</v>
      </c>
      <c r="P387" t="str">
        <f t="shared" ref="P387:P390" si="48">IF(E387="male",F387,"")</f>
        <v/>
      </c>
      <c r="Q387" t="str">
        <f t="shared" ref="Q387:Q419" si="49">IF(E388="female",F388,"")</f>
        <v/>
      </c>
    </row>
    <row r="388" spans="1:17" x14ac:dyDescent="0.35">
      <c r="A388">
        <v>1278</v>
      </c>
      <c r="B388">
        <v>0</v>
      </c>
      <c r="C388">
        <v>3</v>
      </c>
      <c r="D388" t="s">
        <v>561</v>
      </c>
      <c r="E388" t="s">
        <v>11</v>
      </c>
      <c r="F388">
        <v>24</v>
      </c>
      <c r="G388">
        <v>0</v>
      </c>
      <c r="H388">
        <v>0</v>
      </c>
      <c r="I388">
        <v>349911</v>
      </c>
      <c r="J388">
        <v>7.7750000000000004</v>
      </c>
      <c r="L388" t="s">
        <v>15</v>
      </c>
      <c r="M388">
        <f t="shared" si="46"/>
        <v>1</v>
      </c>
      <c r="N388">
        <f t="shared" si="47"/>
        <v>1</v>
      </c>
      <c r="P388">
        <f t="shared" si="48"/>
        <v>24</v>
      </c>
      <c r="Q388" t="str">
        <f t="shared" si="49"/>
        <v/>
      </c>
    </row>
    <row r="389" spans="1:17" x14ac:dyDescent="0.35">
      <c r="A389">
        <v>1279</v>
      </c>
      <c r="B389">
        <v>0</v>
      </c>
      <c r="C389">
        <v>2</v>
      </c>
      <c r="D389" t="s">
        <v>562</v>
      </c>
      <c r="E389" t="s">
        <v>11</v>
      </c>
      <c r="F389">
        <v>57</v>
      </c>
      <c r="G389">
        <v>0</v>
      </c>
      <c r="H389">
        <v>0</v>
      </c>
      <c r="I389">
        <v>244346</v>
      </c>
      <c r="J389">
        <v>13</v>
      </c>
      <c r="L389" t="s">
        <v>15</v>
      </c>
      <c r="M389">
        <f t="shared" si="46"/>
        <v>1</v>
      </c>
      <c r="N389">
        <f t="shared" si="47"/>
        <v>1</v>
      </c>
      <c r="P389">
        <f t="shared" si="48"/>
        <v>57</v>
      </c>
      <c r="Q389" t="str">
        <f t="shared" si="49"/>
        <v/>
      </c>
    </row>
    <row r="390" spans="1:17" x14ac:dyDescent="0.35">
      <c r="A390">
        <v>1280</v>
      </c>
      <c r="B390">
        <v>0</v>
      </c>
      <c r="C390">
        <v>3</v>
      </c>
      <c r="D390" t="s">
        <v>563</v>
      </c>
      <c r="E390" t="s">
        <v>11</v>
      </c>
      <c r="F390">
        <v>21</v>
      </c>
      <c r="G390">
        <v>0</v>
      </c>
      <c r="H390">
        <v>0</v>
      </c>
      <c r="I390">
        <v>364858</v>
      </c>
      <c r="J390">
        <v>7.75</v>
      </c>
      <c r="L390" t="s">
        <v>12</v>
      </c>
      <c r="M390">
        <f t="shared" si="46"/>
        <v>1</v>
      </c>
      <c r="N390">
        <f t="shared" si="47"/>
        <v>1</v>
      </c>
      <c r="P390">
        <f t="shared" si="48"/>
        <v>21</v>
      </c>
      <c r="Q390" t="str">
        <f t="shared" si="49"/>
        <v/>
      </c>
    </row>
    <row r="391" spans="1:17" x14ac:dyDescent="0.35">
      <c r="A391">
        <v>1281</v>
      </c>
      <c r="B391">
        <v>0</v>
      </c>
      <c r="C391">
        <v>3</v>
      </c>
      <c r="D391" t="s">
        <v>564</v>
      </c>
      <c r="E391" t="s">
        <v>11</v>
      </c>
      <c r="F391">
        <v>6</v>
      </c>
      <c r="G391">
        <v>3</v>
      </c>
      <c r="H391">
        <v>1</v>
      </c>
      <c r="I391">
        <v>349909</v>
      </c>
      <c r="J391">
        <v>21.074999999999999</v>
      </c>
      <c r="L391" t="s">
        <v>15</v>
      </c>
      <c r="M391">
        <f t="shared" si="46"/>
        <v>1</v>
      </c>
      <c r="N391">
        <f t="shared" si="47"/>
        <v>1</v>
      </c>
      <c r="P391">
        <f t="shared" ref="P391:P414" si="50">IF(E391="male",F391,"")</f>
        <v>6</v>
      </c>
      <c r="Q391" t="str">
        <f t="shared" si="49"/>
        <v/>
      </c>
    </row>
    <row r="392" spans="1:17" x14ac:dyDescent="0.35">
      <c r="A392">
        <v>1282</v>
      </c>
      <c r="B392">
        <v>0</v>
      </c>
      <c r="C392">
        <v>1</v>
      </c>
      <c r="D392" t="s">
        <v>565</v>
      </c>
      <c r="E392" t="s">
        <v>11</v>
      </c>
      <c r="F392">
        <v>23</v>
      </c>
      <c r="G392">
        <v>0</v>
      </c>
      <c r="H392">
        <v>0</v>
      </c>
      <c r="I392">
        <v>12749</v>
      </c>
      <c r="J392">
        <v>93.5</v>
      </c>
      <c r="K392" t="s">
        <v>566</v>
      </c>
      <c r="L392" t="s">
        <v>15</v>
      </c>
      <c r="M392">
        <f t="shared" si="46"/>
        <v>1</v>
      </c>
      <c r="N392">
        <f t="shared" si="47"/>
        <v>0</v>
      </c>
      <c r="P392">
        <f t="shared" si="50"/>
        <v>23</v>
      </c>
      <c r="Q392">
        <f t="shared" si="49"/>
        <v>51</v>
      </c>
    </row>
    <row r="393" spans="1:17" x14ac:dyDescent="0.35">
      <c r="A393">
        <v>1283</v>
      </c>
      <c r="B393">
        <v>1</v>
      </c>
      <c r="C393">
        <v>1</v>
      </c>
      <c r="D393" t="s">
        <v>567</v>
      </c>
      <c r="E393" t="s">
        <v>14</v>
      </c>
      <c r="F393">
        <v>51</v>
      </c>
      <c r="G393">
        <v>0</v>
      </c>
      <c r="H393">
        <v>1</v>
      </c>
      <c r="I393" t="s">
        <v>568</v>
      </c>
      <c r="J393">
        <v>39.4</v>
      </c>
      <c r="K393" t="s">
        <v>569</v>
      </c>
      <c r="L393" t="s">
        <v>15</v>
      </c>
      <c r="M393">
        <f t="shared" si="46"/>
        <v>0</v>
      </c>
      <c r="N393">
        <f t="shared" si="47"/>
        <v>1</v>
      </c>
      <c r="P393" t="str">
        <f t="shared" si="50"/>
        <v/>
      </c>
      <c r="Q393" t="str">
        <f t="shared" si="49"/>
        <v/>
      </c>
    </row>
    <row r="394" spans="1:17" x14ac:dyDescent="0.35">
      <c r="A394">
        <v>1284</v>
      </c>
      <c r="B394">
        <v>0</v>
      </c>
      <c r="C394">
        <v>3</v>
      </c>
      <c r="D394" t="s">
        <v>570</v>
      </c>
      <c r="E394" t="s">
        <v>11</v>
      </c>
      <c r="F394">
        <v>13</v>
      </c>
      <c r="G394">
        <v>0</v>
      </c>
      <c r="H394">
        <v>2</v>
      </c>
      <c r="I394" t="s">
        <v>571</v>
      </c>
      <c r="J394">
        <v>20.25</v>
      </c>
      <c r="L394" t="s">
        <v>15</v>
      </c>
      <c r="M394">
        <f t="shared" si="46"/>
        <v>1</v>
      </c>
      <c r="N394">
        <f t="shared" si="47"/>
        <v>1</v>
      </c>
      <c r="P394">
        <f t="shared" si="50"/>
        <v>13</v>
      </c>
      <c r="Q394" t="str">
        <f t="shared" si="49"/>
        <v/>
      </c>
    </row>
    <row r="395" spans="1:17" x14ac:dyDescent="0.35">
      <c r="A395">
        <v>1285</v>
      </c>
      <c r="B395">
        <v>0</v>
      </c>
      <c r="C395">
        <v>2</v>
      </c>
      <c r="D395" t="s">
        <v>572</v>
      </c>
      <c r="E395" t="s">
        <v>11</v>
      </c>
      <c r="F395">
        <v>47</v>
      </c>
      <c r="G395">
        <v>0</v>
      </c>
      <c r="H395">
        <v>0</v>
      </c>
      <c r="I395" t="s">
        <v>573</v>
      </c>
      <c r="J395">
        <v>10.5</v>
      </c>
      <c r="L395" t="s">
        <v>15</v>
      </c>
      <c r="M395">
        <f t="shared" si="46"/>
        <v>1</v>
      </c>
      <c r="N395">
        <f t="shared" si="47"/>
        <v>1</v>
      </c>
      <c r="P395">
        <f t="shared" si="50"/>
        <v>47</v>
      </c>
      <c r="Q395" t="str">
        <f t="shared" si="49"/>
        <v/>
      </c>
    </row>
    <row r="396" spans="1:17" x14ac:dyDescent="0.35">
      <c r="A396">
        <v>1286</v>
      </c>
      <c r="B396">
        <v>0</v>
      </c>
      <c r="C396">
        <v>3</v>
      </c>
      <c r="D396" t="s">
        <v>574</v>
      </c>
      <c r="E396" t="s">
        <v>11</v>
      </c>
      <c r="F396">
        <v>29</v>
      </c>
      <c r="G396">
        <v>3</v>
      </c>
      <c r="H396">
        <v>1</v>
      </c>
      <c r="I396">
        <v>315153</v>
      </c>
      <c r="J396">
        <v>22.024999999999999</v>
      </c>
      <c r="L396" t="s">
        <v>15</v>
      </c>
      <c r="M396">
        <f t="shared" si="46"/>
        <v>1</v>
      </c>
      <c r="N396">
        <f t="shared" si="47"/>
        <v>0</v>
      </c>
      <c r="P396">
        <f t="shared" si="50"/>
        <v>29</v>
      </c>
      <c r="Q396">
        <f t="shared" si="49"/>
        <v>18</v>
      </c>
    </row>
    <row r="397" spans="1:17" x14ac:dyDescent="0.35">
      <c r="A397">
        <v>1287</v>
      </c>
      <c r="B397">
        <v>1</v>
      </c>
      <c r="C397">
        <v>1</v>
      </c>
      <c r="D397" t="s">
        <v>575</v>
      </c>
      <c r="E397" t="s">
        <v>14</v>
      </c>
      <c r="F397">
        <v>18</v>
      </c>
      <c r="G397">
        <v>1</v>
      </c>
      <c r="H397">
        <v>0</v>
      </c>
      <c r="I397">
        <v>13695</v>
      </c>
      <c r="J397">
        <v>60</v>
      </c>
      <c r="K397" t="s">
        <v>94</v>
      </c>
      <c r="L397" t="s">
        <v>15</v>
      </c>
      <c r="M397">
        <f t="shared" si="46"/>
        <v>0</v>
      </c>
      <c r="N397">
        <f t="shared" si="47"/>
        <v>1</v>
      </c>
      <c r="P397" t="str">
        <f t="shared" si="50"/>
        <v/>
      </c>
      <c r="Q397" t="str">
        <f t="shared" si="49"/>
        <v/>
      </c>
    </row>
    <row r="398" spans="1:17" x14ac:dyDescent="0.35">
      <c r="A398">
        <v>1288</v>
      </c>
      <c r="B398">
        <v>0</v>
      </c>
      <c r="C398">
        <v>3</v>
      </c>
      <c r="D398" t="s">
        <v>576</v>
      </c>
      <c r="E398" t="s">
        <v>11</v>
      </c>
      <c r="F398">
        <v>24</v>
      </c>
      <c r="G398">
        <v>0</v>
      </c>
      <c r="H398">
        <v>0</v>
      </c>
      <c r="I398">
        <v>371109</v>
      </c>
      <c r="J398">
        <v>7.25</v>
      </c>
      <c r="L398" t="s">
        <v>12</v>
      </c>
      <c r="M398">
        <f t="shared" si="46"/>
        <v>1</v>
      </c>
      <c r="N398">
        <f t="shared" si="47"/>
        <v>0</v>
      </c>
      <c r="P398">
        <f t="shared" si="50"/>
        <v>24</v>
      </c>
      <c r="Q398">
        <f t="shared" si="49"/>
        <v>48</v>
      </c>
    </row>
    <row r="399" spans="1:17" x14ac:dyDescent="0.35">
      <c r="A399">
        <v>1289</v>
      </c>
      <c r="B399">
        <v>1</v>
      </c>
      <c r="C399">
        <v>1</v>
      </c>
      <c r="D399" t="s">
        <v>577</v>
      </c>
      <c r="E399" t="s">
        <v>14</v>
      </c>
      <c r="F399">
        <v>48</v>
      </c>
      <c r="G399">
        <v>1</v>
      </c>
      <c r="H399">
        <v>1</v>
      </c>
      <c r="I399">
        <v>13567</v>
      </c>
      <c r="J399">
        <v>79.2</v>
      </c>
      <c r="K399" t="s">
        <v>578</v>
      </c>
      <c r="L399" t="s">
        <v>23</v>
      </c>
      <c r="M399">
        <f t="shared" si="46"/>
        <v>0</v>
      </c>
      <c r="N399">
        <f t="shared" si="47"/>
        <v>1</v>
      </c>
      <c r="P399" t="str">
        <f t="shared" si="50"/>
        <v/>
      </c>
      <c r="Q399" t="str">
        <f t="shared" si="49"/>
        <v/>
      </c>
    </row>
    <row r="400" spans="1:17" x14ac:dyDescent="0.35">
      <c r="A400">
        <v>1290</v>
      </c>
      <c r="B400">
        <v>0</v>
      </c>
      <c r="C400">
        <v>3</v>
      </c>
      <c r="D400" t="s">
        <v>579</v>
      </c>
      <c r="E400" t="s">
        <v>11</v>
      </c>
      <c r="F400">
        <v>22</v>
      </c>
      <c r="G400">
        <v>0</v>
      </c>
      <c r="H400">
        <v>0</v>
      </c>
      <c r="I400">
        <v>347065</v>
      </c>
      <c r="J400">
        <v>7.7750000000000004</v>
      </c>
      <c r="L400" t="s">
        <v>15</v>
      </c>
      <c r="M400">
        <f t="shared" si="46"/>
        <v>1</v>
      </c>
      <c r="N400">
        <f t="shared" si="47"/>
        <v>1</v>
      </c>
      <c r="P400">
        <f t="shared" si="50"/>
        <v>22</v>
      </c>
      <c r="Q400" t="str">
        <f t="shared" si="49"/>
        <v/>
      </c>
    </row>
    <row r="401" spans="1:17" x14ac:dyDescent="0.35">
      <c r="A401">
        <v>1291</v>
      </c>
      <c r="B401">
        <v>0</v>
      </c>
      <c r="C401">
        <v>3</v>
      </c>
      <c r="D401" t="s">
        <v>580</v>
      </c>
      <c r="E401" t="s">
        <v>11</v>
      </c>
      <c r="F401">
        <v>31</v>
      </c>
      <c r="G401">
        <v>0</v>
      </c>
      <c r="H401">
        <v>0</v>
      </c>
      <c r="I401">
        <v>21332</v>
      </c>
      <c r="J401">
        <v>7.7332999999999998</v>
      </c>
      <c r="L401" t="s">
        <v>12</v>
      </c>
      <c r="M401">
        <f t="shared" si="46"/>
        <v>1</v>
      </c>
      <c r="N401">
        <f t="shared" si="47"/>
        <v>0</v>
      </c>
      <c r="P401">
        <f t="shared" si="50"/>
        <v>31</v>
      </c>
      <c r="Q401">
        <f t="shared" si="49"/>
        <v>30</v>
      </c>
    </row>
    <row r="402" spans="1:17" x14ac:dyDescent="0.35">
      <c r="A402">
        <v>1292</v>
      </c>
      <c r="B402">
        <v>1</v>
      </c>
      <c r="C402">
        <v>1</v>
      </c>
      <c r="D402" t="s">
        <v>581</v>
      </c>
      <c r="E402" t="s">
        <v>14</v>
      </c>
      <c r="F402">
        <v>30</v>
      </c>
      <c r="G402">
        <v>0</v>
      </c>
      <c r="H402">
        <v>0</v>
      </c>
      <c r="I402">
        <v>36928</v>
      </c>
      <c r="J402">
        <v>164.86670000000001</v>
      </c>
      <c r="K402" t="s">
        <v>582</v>
      </c>
      <c r="L402" t="s">
        <v>15</v>
      </c>
      <c r="M402">
        <f t="shared" si="46"/>
        <v>0</v>
      </c>
      <c r="N402">
        <f t="shared" si="47"/>
        <v>1</v>
      </c>
      <c r="P402" t="str">
        <f t="shared" si="50"/>
        <v/>
      </c>
      <c r="Q402" t="str">
        <f t="shared" si="49"/>
        <v/>
      </c>
    </row>
    <row r="403" spans="1:17" x14ac:dyDescent="0.35">
      <c r="A403">
        <v>1293</v>
      </c>
      <c r="B403">
        <v>0</v>
      </c>
      <c r="C403">
        <v>2</v>
      </c>
      <c r="D403" t="s">
        <v>583</v>
      </c>
      <c r="E403" t="s">
        <v>11</v>
      </c>
      <c r="F403">
        <v>38</v>
      </c>
      <c r="G403">
        <v>1</v>
      </c>
      <c r="H403">
        <v>0</v>
      </c>
      <c r="I403">
        <v>28664</v>
      </c>
      <c r="J403">
        <v>21</v>
      </c>
      <c r="L403" t="s">
        <v>15</v>
      </c>
      <c r="M403">
        <f t="shared" si="46"/>
        <v>1</v>
      </c>
      <c r="N403">
        <f t="shared" si="47"/>
        <v>0</v>
      </c>
      <c r="P403">
        <f t="shared" si="50"/>
        <v>38</v>
      </c>
      <c r="Q403">
        <f t="shared" si="49"/>
        <v>22</v>
      </c>
    </row>
    <row r="404" spans="1:17" x14ac:dyDescent="0.35">
      <c r="A404">
        <v>1294</v>
      </c>
      <c r="B404">
        <v>1</v>
      </c>
      <c r="C404">
        <v>1</v>
      </c>
      <c r="D404" t="s">
        <v>584</v>
      </c>
      <c r="E404" t="s">
        <v>14</v>
      </c>
      <c r="F404">
        <v>22</v>
      </c>
      <c r="G404">
        <v>0</v>
      </c>
      <c r="H404">
        <v>1</v>
      </c>
      <c r="I404">
        <v>112378</v>
      </c>
      <c r="J404">
        <v>59.4</v>
      </c>
      <c r="L404" t="s">
        <v>23</v>
      </c>
      <c r="M404">
        <f t="shared" si="46"/>
        <v>0</v>
      </c>
      <c r="N404">
        <f t="shared" si="47"/>
        <v>1</v>
      </c>
      <c r="P404" t="str">
        <f t="shared" si="50"/>
        <v/>
      </c>
      <c r="Q404" t="str">
        <f t="shared" si="49"/>
        <v/>
      </c>
    </row>
    <row r="405" spans="1:17" x14ac:dyDescent="0.35">
      <c r="A405">
        <v>1295</v>
      </c>
      <c r="B405">
        <v>0</v>
      </c>
      <c r="C405">
        <v>1</v>
      </c>
      <c r="D405" t="s">
        <v>585</v>
      </c>
      <c r="E405" t="s">
        <v>11</v>
      </c>
      <c r="F405">
        <v>17</v>
      </c>
      <c r="G405">
        <v>0</v>
      </c>
      <c r="H405">
        <v>0</v>
      </c>
      <c r="I405">
        <v>113059</v>
      </c>
      <c r="J405">
        <v>47.1</v>
      </c>
      <c r="L405" t="s">
        <v>15</v>
      </c>
      <c r="M405">
        <f t="shared" si="46"/>
        <v>1</v>
      </c>
      <c r="N405">
        <f t="shared" si="47"/>
        <v>1</v>
      </c>
      <c r="P405">
        <f t="shared" si="50"/>
        <v>17</v>
      </c>
      <c r="Q405" t="str">
        <f t="shared" si="49"/>
        <v/>
      </c>
    </row>
    <row r="406" spans="1:17" x14ac:dyDescent="0.35">
      <c r="A406">
        <v>1296</v>
      </c>
      <c r="B406">
        <v>0</v>
      </c>
      <c r="C406">
        <v>1</v>
      </c>
      <c r="D406" t="s">
        <v>586</v>
      </c>
      <c r="E406" t="s">
        <v>11</v>
      </c>
      <c r="F406">
        <v>43</v>
      </c>
      <c r="G406">
        <v>1</v>
      </c>
      <c r="H406">
        <v>0</v>
      </c>
      <c r="I406">
        <v>17765</v>
      </c>
      <c r="J406">
        <v>27.720800000000001</v>
      </c>
      <c r="K406" t="s">
        <v>587</v>
      </c>
      <c r="L406" t="s">
        <v>23</v>
      </c>
      <c r="M406">
        <f t="shared" si="46"/>
        <v>1</v>
      </c>
      <c r="N406">
        <f t="shared" si="47"/>
        <v>1</v>
      </c>
      <c r="P406">
        <f t="shared" si="50"/>
        <v>43</v>
      </c>
      <c r="Q406" t="str">
        <f t="shared" si="49"/>
        <v/>
      </c>
    </row>
    <row r="407" spans="1:17" x14ac:dyDescent="0.35">
      <c r="A407">
        <v>1297</v>
      </c>
      <c r="B407">
        <v>0</v>
      </c>
      <c r="C407">
        <v>2</v>
      </c>
      <c r="D407" t="s">
        <v>588</v>
      </c>
      <c r="E407" t="s">
        <v>11</v>
      </c>
      <c r="F407">
        <v>20</v>
      </c>
      <c r="G407">
        <v>0</v>
      </c>
      <c r="H407">
        <v>0</v>
      </c>
      <c r="I407" t="s">
        <v>589</v>
      </c>
      <c r="J407">
        <v>13.862500000000001</v>
      </c>
      <c r="K407" t="s">
        <v>590</v>
      </c>
      <c r="L407" t="s">
        <v>23</v>
      </c>
      <c r="M407">
        <f t="shared" si="46"/>
        <v>1</v>
      </c>
      <c r="N407">
        <f t="shared" si="47"/>
        <v>1</v>
      </c>
      <c r="P407">
        <f t="shared" si="50"/>
        <v>20</v>
      </c>
      <c r="Q407" t="str">
        <f t="shared" si="49"/>
        <v/>
      </c>
    </row>
    <row r="408" spans="1:17" x14ac:dyDescent="0.35">
      <c r="A408">
        <v>1298</v>
      </c>
      <c r="B408">
        <v>0</v>
      </c>
      <c r="C408">
        <v>2</v>
      </c>
      <c r="D408" t="s">
        <v>591</v>
      </c>
      <c r="E408" t="s">
        <v>11</v>
      </c>
      <c r="F408">
        <v>23</v>
      </c>
      <c r="G408">
        <v>1</v>
      </c>
      <c r="H408">
        <v>0</v>
      </c>
      <c r="I408">
        <v>28666</v>
      </c>
      <c r="J408">
        <v>10.5</v>
      </c>
      <c r="L408" t="s">
        <v>15</v>
      </c>
      <c r="M408">
        <f t="shared" si="46"/>
        <v>1</v>
      </c>
      <c r="N408">
        <f t="shared" si="47"/>
        <v>1</v>
      </c>
      <c r="P408">
        <f t="shared" si="50"/>
        <v>23</v>
      </c>
      <c r="Q408" t="str">
        <f t="shared" si="49"/>
        <v/>
      </c>
    </row>
    <row r="409" spans="1:17" x14ac:dyDescent="0.35">
      <c r="A409">
        <v>1299</v>
      </c>
      <c r="B409">
        <v>0</v>
      </c>
      <c r="C409">
        <v>1</v>
      </c>
      <c r="D409" t="s">
        <v>592</v>
      </c>
      <c r="E409" t="s">
        <v>11</v>
      </c>
      <c r="F409">
        <v>50</v>
      </c>
      <c r="G409">
        <v>1</v>
      </c>
      <c r="H409">
        <v>1</v>
      </c>
      <c r="I409">
        <v>113503</v>
      </c>
      <c r="J409">
        <v>211.5</v>
      </c>
      <c r="K409" t="s">
        <v>332</v>
      </c>
      <c r="L409" t="s">
        <v>23</v>
      </c>
      <c r="M409">
        <f t="shared" si="46"/>
        <v>1</v>
      </c>
      <c r="N409">
        <f t="shared" si="47"/>
        <v>0</v>
      </c>
      <c r="P409">
        <f t="shared" si="50"/>
        <v>50</v>
      </c>
      <c r="Q409">
        <f t="shared" si="49"/>
        <v>0</v>
      </c>
    </row>
    <row r="410" spans="1:17" x14ac:dyDescent="0.35">
      <c r="A410">
        <v>1300</v>
      </c>
      <c r="B410">
        <v>1</v>
      </c>
      <c r="C410">
        <v>3</v>
      </c>
      <c r="D410" t="s">
        <v>593</v>
      </c>
      <c r="E410" t="s">
        <v>14</v>
      </c>
      <c r="G410">
        <v>0</v>
      </c>
      <c r="H410">
        <v>0</v>
      </c>
      <c r="I410">
        <v>334915</v>
      </c>
      <c r="J410">
        <v>7.7207999999999997</v>
      </c>
      <c r="L410" t="s">
        <v>12</v>
      </c>
      <c r="M410">
        <f t="shared" si="46"/>
        <v>0</v>
      </c>
      <c r="N410">
        <f t="shared" si="47"/>
        <v>0</v>
      </c>
      <c r="P410" t="str">
        <f t="shared" si="50"/>
        <v/>
      </c>
      <c r="Q410">
        <f t="shared" si="49"/>
        <v>3</v>
      </c>
    </row>
    <row r="411" spans="1:17" x14ac:dyDescent="0.35">
      <c r="A411">
        <v>1301</v>
      </c>
      <c r="B411">
        <v>1</v>
      </c>
      <c r="C411">
        <v>3</v>
      </c>
      <c r="D411" t="s">
        <v>594</v>
      </c>
      <c r="E411" t="s">
        <v>14</v>
      </c>
      <c r="F411">
        <v>3</v>
      </c>
      <c r="G411">
        <v>1</v>
      </c>
      <c r="H411">
        <v>1</v>
      </c>
      <c r="I411" t="s">
        <v>245</v>
      </c>
      <c r="J411">
        <v>13.775</v>
      </c>
      <c r="L411" t="s">
        <v>15</v>
      </c>
      <c r="M411">
        <f t="shared" si="46"/>
        <v>0</v>
      </c>
      <c r="N411">
        <f t="shared" si="47"/>
        <v>0</v>
      </c>
      <c r="P411" t="str">
        <f t="shared" si="50"/>
        <v/>
      </c>
      <c r="Q411">
        <f t="shared" si="49"/>
        <v>0</v>
      </c>
    </row>
    <row r="412" spans="1:17" x14ac:dyDescent="0.35">
      <c r="A412">
        <v>1302</v>
      </c>
      <c r="B412">
        <v>1</v>
      </c>
      <c r="C412">
        <v>3</v>
      </c>
      <c r="D412" t="s">
        <v>595</v>
      </c>
      <c r="E412" t="s">
        <v>14</v>
      </c>
      <c r="G412">
        <v>0</v>
      </c>
      <c r="H412">
        <v>0</v>
      </c>
      <c r="I412">
        <v>365237</v>
      </c>
      <c r="J412">
        <v>7.75</v>
      </c>
      <c r="L412" t="s">
        <v>12</v>
      </c>
      <c r="M412">
        <f t="shared" si="46"/>
        <v>0</v>
      </c>
      <c r="N412">
        <f t="shared" si="47"/>
        <v>0</v>
      </c>
      <c r="P412" t="str">
        <f t="shared" si="50"/>
        <v/>
      </c>
      <c r="Q412">
        <f t="shared" si="49"/>
        <v>37</v>
      </c>
    </row>
    <row r="413" spans="1:17" x14ac:dyDescent="0.35">
      <c r="A413">
        <v>1303</v>
      </c>
      <c r="B413">
        <v>1</v>
      </c>
      <c r="C413">
        <v>1</v>
      </c>
      <c r="D413" t="s">
        <v>596</v>
      </c>
      <c r="E413" t="s">
        <v>14</v>
      </c>
      <c r="F413">
        <v>37</v>
      </c>
      <c r="G413">
        <v>1</v>
      </c>
      <c r="H413">
        <v>0</v>
      </c>
      <c r="I413">
        <v>19928</v>
      </c>
      <c r="J413">
        <v>90</v>
      </c>
      <c r="K413" t="s">
        <v>69</v>
      </c>
      <c r="L413" t="s">
        <v>12</v>
      </c>
      <c r="M413">
        <f t="shared" si="46"/>
        <v>0</v>
      </c>
      <c r="N413">
        <f t="shared" si="47"/>
        <v>0</v>
      </c>
      <c r="P413" t="str">
        <f t="shared" si="50"/>
        <v/>
      </c>
      <c r="Q413">
        <f t="shared" si="49"/>
        <v>28</v>
      </c>
    </row>
    <row r="414" spans="1:17" x14ac:dyDescent="0.35">
      <c r="A414">
        <v>1304</v>
      </c>
      <c r="B414">
        <v>1</v>
      </c>
      <c r="C414">
        <v>3</v>
      </c>
      <c r="D414" t="s">
        <v>597</v>
      </c>
      <c r="E414" t="s">
        <v>14</v>
      </c>
      <c r="F414">
        <v>28</v>
      </c>
      <c r="G414">
        <v>0</v>
      </c>
      <c r="H414">
        <v>0</v>
      </c>
      <c r="I414">
        <v>347086</v>
      </c>
      <c r="J414">
        <v>7.7750000000000004</v>
      </c>
      <c r="L414" t="s">
        <v>15</v>
      </c>
      <c r="M414">
        <f t="shared" si="46"/>
        <v>0</v>
      </c>
      <c r="N414">
        <f t="shared" si="47"/>
        <v>1</v>
      </c>
      <c r="P414" t="str">
        <f t="shared" si="50"/>
        <v/>
      </c>
      <c r="Q414" t="str">
        <f t="shared" si="49"/>
        <v/>
      </c>
    </row>
    <row r="415" spans="1:17" x14ac:dyDescent="0.35">
      <c r="A415">
        <v>1305</v>
      </c>
      <c r="B415">
        <v>0</v>
      </c>
      <c r="C415">
        <v>3</v>
      </c>
      <c r="D415" t="s">
        <v>598</v>
      </c>
      <c r="E415" t="s">
        <v>11</v>
      </c>
      <c r="G415">
        <v>0</v>
      </c>
      <c r="H415">
        <v>0</v>
      </c>
      <c r="I415" t="s">
        <v>599</v>
      </c>
      <c r="J415">
        <v>8.0500000000000007</v>
      </c>
      <c r="L415" t="s">
        <v>15</v>
      </c>
      <c r="M415">
        <f t="shared" si="46"/>
        <v>1</v>
      </c>
      <c r="N415">
        <f t="shared" si="47"/>
        <v>0</v>
      </c>
      <c r="Q415">
        <f t="shared" si="49"/>
        <v>39</v>
      </c>
    </row>
    <row r="416" spans="1:17" x14ac:dyDescent="0.35">
      <c r="A416">
        <v>1306</v>
      </c>
      <c r="B416">
        <v>1</v>
      </c>
      <c r="C416">
        <v>1</v>
      </c>
      <c r="D416" t="s">
        <v>600</v>
      </c>
      <c r="E416" t="s">
        <v>14</v>
      </c>
      <c r="F416">
        <v>39</v>
      </c>
      <c r="G416">
        <v>0</v>
      </c>
      <c r="H416">
        <v>0</v>
      </c>
      <c r="I416" t="s">
        <v>601</v>
      </c>
      <c r="J416">
        <v>108.9</v>
      </c>
      <c r="K416" t="s">
        <v>602</v>
      </c>
      <c r="L416" t="s">
        <v>23</v>
      </c>
      <c r="M416">
        <f t="shared" si="46"/>
        <v>0</v>
      </c>
      <c r="N416">
        <f t="shared" si="47"/>
        <v>1</v>
      </c>
      <c r="P416" t="str">
        <f>IF(E416="male",F416,"")</f>
        <v/>
      </c>
      <c r="Q416" t="str">
        <f t="shared" si="49"/>
        <v/>
      </c>
    </row>
    <row r="417" spans="1:17" x14ac:dyDescent="0.35">
      <c r="A417">
        <v>1307</v>
      </c>
      <c r="B417">
        <v>0</v>
      </c>
      <c r="C417">
        <v>3</v>
      </c>
      <c r="D417" t="s">
        <v>603</v>
      </c>
      <c r="E417" t="s">
        <v>11</v>
      </c>
      <c r="F417">
        <v>38.5</v>
      </c>
      <c r="G417">
        <v>0</v>
      </c>
      <c r="H417">
        <v>0</v>
      </c>
      <c r="I417" t="s">
        <v>604</v>
      </c>
      <c r="J417">
        <v>7.25</v>
      </c>
      <c r="L417" t="s">
        <v>15</v>
      </c>
      <c r="M417">
        <f t="shared" si="46"/>
        <v>1</v>
      </c>
      <c r="N417">
        <f t="shared" si="47"/>
        <v>1</v>
      </c>
      <c r="P417">
        <f>IF(E417="male",F417,"")</f>
        <v>38.5</v>
      </c>
      <c r="Q417" t="str">
        <f t="shared" si="49"/>
        <v/>
      </c>
    </row>
    <row r="418" spans="1:17" x14ac:dyDescent="0.35">
      <c r="A418">
        <v>1308</v>
      </c>
      <c r="B418">
        <v>0</v>
      </c>
      <c r="C418">
        <v>3</v>
      </c>
      <c r="D418" t="s">
        <v>605</v>
      </c>
      <c r="E418" t="s">
        <v>11</v>
      </c>
      <c r="G418">
        <v>0</v>
      </c>
      <c r="H418">
        <v>0</v>
      </c>
      <c r="I418">
        <v>359309</v>
      </c>
      <c r="J418">
        <v>8.0500000000000007</v>
      </c>
      <c r="L418" t="s">
        <v>15</v>
      </c>
      <c r="M418">
        <f t="shared" si="46"/>
        <v>1</v>
      </c>
      <c r="N418">
        <f t="shared" si="47"/>
        <v>1</v>
      </c>
      <c r="Q418" t="str">
        <f t="shared" si="49"/>
        <v/>
      </c>
    </row>
    <row r="419" spans="1:17" x14ac:dyDescent="0.35">
      <c r="A419">
        <v>1309</v>
      </c>
      <c r="B419">
        <v>0</v>
      </c>
      <c r="C419">
        <v>3</v>
      </c>
      <c r="D419" t="s">
        <v>606</v>
      </c>
      <c r="E419" t="s">
        <v>11</v>
      </c>
      <c r="G419">
        <v>1</v>
      </c>
      <c r="H419">
        <v>1</v>
      </c>
      <c r="I419">
        <v>2668</v>
      </c>
      <c r="J419">
        <v>22.3583</v>
      </c>
      <c r="L419" t="s">
        <v>23</v>
      </c>
      <c r="M419">
        <f t="shared" si="46"/>
        <v>1</v>
      </c>
      <c r="N419">
        <f t="shared" si="47"/>
        <v>1</v>
      </c>
      <c r="Q419" t="str">
        <f t="shared" si="49"/>
        <v/>
      </c>
    </row>
    <row r="420" spans="1:17" x14ac:dyDescent="0.35">
      <c r="M420">
        <f>SUM(M2:M419)</f>
        <v>266</v>
      </c>
      <c r="P420">
        <f>AVERAGE(P2:$P$419)</f>
        <v>30.272731707317071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9"/>
  <sheetViews>
    <sheetView topLeftCell="F1" zoomScaleNormal="82" workbookViewId="0">
      <selection activeCell="J2" sqref="J2"/>
    </sheetView>
  </sheetViews>
  <sheetFormatPr defaultRowHeight="14.5" x14ac:dyDescent="0.35"/>
  <cols>
    <col min="1" max="1" width="10.81640625" bestFit="1" customWidth="1"/>
    <col min="4" max="4" width="58.08984375" bestFit="1" customWidth="1"/>
    <col min="7" max="7" width="16.6328125" bestFit="1" customWidth="1"/>
    <col min="9" max="9" width="19" bestFit="1" customWidth="1"/>
    <col min="10" max="10" width="8.81640625" bestFit="1" customWidth="1"/>
  </cols>
  <sheetData>
    <row r="1" spans="1:12" x14ac:dyDescent="0.35">
      <c r="A1" t="s">
        <v>607</v>
      </c>
      <c r="B1" t="s">
        <v>0</v>
      </c>
      <c r="C1" t="s">
        <v>1</v>
      </c>
      <c r="D1" t="s">
        <v>2</v>
      </c>
      <c r="E1" t="s">
        <v>3</v>
      </c>
      <c r="F1" t="s">
        <v>4</v>
      </c>
      <c r="G1" t="s">
        <v>608</v>
      </c>
      <c r="H1" t="s">
        <v>5</v>
      </c>
      <c r="I1" t="s">
        <v>6</v>
      </c>
      <c r="J1" t="s">
        <v>7</v>
      </c>
      <c r="K1" t="s">
        <v>8</v>
      </c>
      <c r="L1" t="s">
        <v>9</v>
      </c>
    </row>
    <row r="2" spans="1:12" x14ac:dyDescent="0.35">
      <c r="A2">
        <v>892</v>
      </c>
      <c r="B2">
        <v>0</v>
      </c>
      <c r="C2">
        <v>3</v>
      </c>
      <c r="D2" t="s">
        <v>10</v>
      </c>
      <c r="E2" t="s">
        <v>11</v>
      </c>
      <c r="F2">
        <v>34.5</v>
      </c>
      <c r="G2">
        <v>0</v>
      </c>
      <c r="H2">
        <v>0</v>
      </c>
      <c r="I2">
        <v>330911</v>
      </c>
      <c r="J2">
        <v>7.8292000000000002</v>
      </c>
      <c r="L2" t="s">
        <v>12</v>
      </c>
    </row>
    <row r="3" spans="1:12" x14ac:dyDescent="0.35">
      <c r="A3">
        <v>893</v>
      </c>
      <c r="B3">
        <v>1</v>
      </c>
      <c r="C3">
        <v>3</v>
      </c>
      <c r="D3" t="s">
        <v>13</v>
      </c>
      <c r="E3" t="s">
        <v>14</v>
      </c>
      <c r="F3">
        <v>47</v>
      </c>
      <c r="G3">
        <v>1</v>
      </c>
      <c r="H3">
        <v>0</v>
      </c>
      <c r="I3">
        <v>363272</v>
      </c>
      <c r="J3">
        <v>7</v>
      </c>
      <c r="L3" t="s">
        <v>15</v>
      </c>
    </row>
    <row r="4" spans="1:12" x14ac:dyDescent="0.35">
      <c r="A4">
        <v>894</v>
      </c>
      <c r="B4">
        <v>0</v>
      </c>
      <c r="C4">
        <v>2</v>
      </c>
      <c r="D4" t="s">
        <v>16</v>
      </c>
      <c r="E4" t="s">
        <v>11</v>
      </c>
      <c r="F4">
        <v>62</v>
      </c>
      <c r="G4">
        <v>0</v>
      </c>
      <c r="H4">
        <v>0</v>
      </c>
      <c r="I4">
        <v>240276</v>
      </c>
      <c r="J4">
        <v>9.6875</v>
      </c>
      <c r="L4" t="s">
        <v>12</v>
      </c>
    </row>
    <row r="5" spans="1:12" x14ac:dyDescent="0.35">
      <c r="A5">
        <v>895</v>
      </c>
      <c r="B5">
        <v>0</v>
      </c>
      <c r="C5">
        <v>3</v>
      </c>
      <c r="D5" t="s">
        <v>17</v>
      </c>
      <c r="E5" t="s">
        <v>11</v>
      </c>
      <c r="F5">
        <v>27</v>
      </c>
      <c r="G5">
        <v>0</v>
      </c>
      <c r="H5">
        <v>0</v>
      </c>
      <c r="I5">
        <v>315154</v>
      </c>
      <c r="J5">
        <v>8.6624999999999996</v>
      </c>
      <c r="L5" t="s">
        <v>15</v>
      </c>
    </row>
    <row r="6" spans="1:12" x14ac:dyDescent="0.35">
      <c r="A6">
        <v>896</v>
      </c>
      <c r="B6">
        <v>1</v>
      </c>
      <c r="C6">
        <v>3</v>
      </c>
      <c r="D6" t="s">
        <v>18</v>
      </c>
      <c r="E6" t="s">
        <v>14</v>
      </c>
      <c r="F6">
        <v>22</v>
      </c>
      <c r="G6">
        <v>1</v>
      </c>
      <c r="H6">
        <v>1</v>
      </c>
      <c r="I6">
        <v>3101298</v>
      </c>
      <c r="J6">
        <v>12.2875</v>
      </c>
      <c r="L6" t="s">
        <v>15</v>
      </c>
    </row>
    <row r="7" spans="1:12" x14ac:dyDescent="0.35">
      <c r="A7">
        <v>897</v>
      </c>
      <c r="B7">
        <v>0</v>
      </c>
      <c r="C7">
        <v>3</v>
      </c>
      <c r="D7" t="s">
        <v>19</v>
      </c>
      <c r="E7" t="s">
        <v>11</v>
      </c>
      <c r="F7">
        <v>14</v>
      </c>
      <c r="G7">
        <v>0</v>
      </c>
      <c r="H7">
        <v>0</v>
      </c>
      <c r="I7">
        <v>7538</v>
      </c>
      <c r="J7">
        <v>9.2249999999999996</v>
      </c>
      <c r="L7" t="s">
        <v>15</v>
      </c>
    </row>
    <row r="8" spans="1:12" x14ac:dyDescent="0.35">
      <c r="A8">
        <v>898</v>
      </c>
      <c r="B8">
        <v>1</v>
      </c>
      <c r="C8">
        <v>3</v>
      </c>
      <c r="D8" t="s">
        <v>20</v>
      </c>
      <c r="E8" t="s">
        <v>14</v>
      </c>
      <c r="F8">
        <v>30</v>
      </c>
      <c r="G8">
        <v>0</v>
      </c>
      <c r="H8">
        <v>0</v>
      </c>
      <c r="I8">
        <v>330972</v>
      </c>
      <c r="J8">
        <v>7.6292</v>
      </c>
      <c r="L8" t="s">
        <v>12</v>
      </c>
    </row>
    <row r="9" spans="1:12" x14ac:dyDescent="0.35">
      <c r="A9">
        <v>899</v>
      </c>
      <c r="B9">
        <v>0</v>
      </c>
      <c r="C9">
        <v>2</v>
      </c>
      <c r="D9" t="s">
        <v>21</v>
      </c>
      <c r="E9" t="s">
        <v>11</v>
      </c>
      <c r="F9">
        <v>26</v>
      </c>
      <c r="G9">
        <v>1</v>
      </c>
      <c r="H9">
        <v>1</v>
      </c>
      <c r="I9">
        <v>248738</v>
      </c>
      <c r="J9">
        <v>29</v>
      </c>
      <c r="L9" t="s">
        <v>15</v>
      </c>
    </row>
    <row r="10" spans="1:12" x14ac:dyDescent="0.35">
      <c r="A10">
        <v>900</v>
      </c>
      <c r="B10">
        <v>1</v>
      </c>
      <c r="C10">
        <v>3</v>
      </c>
      <c r="D10" t="s">
        <v>22</v>
      </c>
      <c r="E10" t="s">
        <v>14</v>
      </c>
      <c r="F10">
        <v>18</v>
      </c>
      <c r="G10">
        <v>0</v>
      </c>
      <c r="H10">
        <v>0</v>
      </c>
      <c r="I10">
        <v>2657</v>
      </c>
      <c r="J10">
        <v>7.2291999999999996</v>
      </c>
      <c r="L10" t="s">
        <v>23</v>
      </c>
    </row>
    <row r="11" spans="1:12" x14ac:dyDescent="0.35">
      <c r="A11">
        <v>901</v>
      </c>
      <c r="B11">
        <v>0</v>
      </c>
      <c r="C11">
        <v>3</v>
      </c>
      <c r="D11" t="s">
        <v>24</v>
      </c>
      <c r="E11" t="s">
        <v>11</v>
      </c>
      <c r="F11">
        <v>21</v>
      </c>
      <c r="G11">
        <v>2</v>
      </c>
      <c r="H11">
        <v>0</v>
      </c>
      <c r="I11" t="s">
        <v>25</v>
      </c>
      <c r="J11">
        <v>24.15</v>
      </c>
      <c r="L11" t="s">
        <v>15</v>
      </c>
    </row>
    <row r="12" spans="1:12" x14ac:dyDescent="0.35">
      <c r="A12">
        <v>902</v>
      </c>
      <c r="B12">
        <v>0</v>
      </c>
      <c r="C12">
        <v>3</v>
      </c>
      <c r="D12" t="s">
        <v>26</v>
      </c>
      <c r="E12" t="s">
        <v>11</v>
      </c>
      <c r="G12">
        <v>0</v>
      </c>
      <c r="H12">
        <v>0</v>
      </c>
      <c r="I12">
        <v>349220</v>
      </c>
      <c r="J12">
        <v>7.8958000000000004</v>
      </c>
      <c r="L12" t="s">
        <v>15</v>
      </c>
    </row>
    <row r="13" spans="1:12" x14ac:dyDescent="0.35">
      <c r="A13">
        <v>903</v>
      </c>
      <c r="B13">
        <v>0</v>
      </c>
      <c r="C13">
        <v>1</v>
      </c>
      <c r="D13" t="s">
        <v>27</v>
      </c>
      <c r="E13" t="s">
        <v>11</v>
      </c>
      <c r="F13">
        <v>46</v>
      </c>
      <c r="G13">
        <v>0</v>
      </c>
      <c r="H13">
        <v>0</v>
      </c>
      <c r="I13">
        <v>694</v>
      </c>
      <c r="J13">
        <v>26</v>
      </c>
      <c r="L13" t="s">
        <v>15</v>
      </c>
    </row>
    <row r="14" spans="1:12" x14ac:dyDescent="0.35">
      <c r="A14">
        <v>904</v>
      </c>
      <c r="B14">
        <v>1</v>
      </c>
      <c r="C14">
        <v>1</v>
      </c>
      <c r="D14" t="s">
        <v>28</v>
      </c>
      <c r="E14" t="s">
        <v>14</v>
      </c>
      <c r="F14">
        <v>23</v>
      </c>
      <c r="G14">
        <v>1</v>
      </c>
      <c r="H14">
        <v>0</v>
      </c>
      <c r="I14">
        <v>21228</v>
      </c>
      <c r="J14">
        <v>82.2667</v>
      </c>
      <c r="K14" t="s">
        <v>29</v>
      </c>
      <c r="L14" t="s">
        <v>15</v>
      </c>
    </row>
    <row r="15" spans="1:12" x14ac:dyDescent="0.35">
      <c r="A15">
        <v>905</v>
      </c>
      <c r="B15">
        <v>0</v>
      </c>
      <c r="C15">
        <v>2</v>
      </c>
      <c r="D15" t="s">
        <v>30</v>
      </c>
      <c r="E15" t="s">
        <v>11</v>
      </c>
      <c r="F15">
        <v>63</v>
      </c>
      <c r="G15">
        <v>1</v>
      </c>
      <c r="H15">
        <v>0</v>
      </c>
      <c r="I15">
        <v>24065</v>
      </c>
      <c r="J15">
        <v>26</v>
      </c>
      <c r="L15" t="s">
        <v>15</v>
      </c>
    </row>
    <row r="16" spans="1:12" x14ac:dyDescent="0.35">
      <c r="A16">
        <v>906</v>
      </c>
      <c r="B16">
        <v>1</v>
      </c>
      <c r="C16">
        <v>1</v>
      </c>
      <c r="D16" t="s">
        <v>31</v>
      </c>
      <c r="E16" t="s">
        <v>14</v>
      </c>
      <c r="F16">
        <v>47</v>
      </c>
      <c r="G16">
        <v>1</v>
      </c>
      <c r="H16">
        <v>0</v>
      </c>
      <c r="I16" t="s">
        <v>32</v>
      </c>
      <c r="J16">
        <v>61.174999999999997</v>
      </c>
      <c r="K16" t="s">
        <v>33</v>
      </c>
      <c r="L16" t="s">
        <v>15</v>
      </c>
    </row>
    <row r="17" spans="1:12" x14ac:dyDescent="0.35">
      <c r="A17">
        <v>907</v>
      </c>
      <c r="B17">
        <v>1</v>
      </c>
      <c r="C17">
        <v>2</v>
      </c>
      <c r="D17" t="s">
        <v>34</v>
      </c>
      <c r="E17" t="s">
        <v>14</v>
      </c>
      <c r="F17">
        <v>24</v>
      </c>
      <c r="G17">
        <v>1</v>
      </c>
      <c r="H17">
        <v>0</v>
      </c>
      <c r="I17" t="s">
        <v>35</v>
      </c>
      <c r="J17">
        <v>27.720800000000001</v>
      </c>
      <c r="L17" t="s">
        <v>23</v>
      </c>
    </row>
    <row r="18" spans="1:12" x14ac:dyDescent="0.35">
      <c r="A18">
        <v>908</v>
      </c>
      <c r="B18">
        <v>0</v>
      </c>
      <c r="C18">
        <v>2</v>
      </c>
      <c r="D18" t="s">
        <v>36</v>
      </c>
      <c r="E18" t="s">
        <v>11</v>
      </c>
      <c r="F18">
        <v>35</v>
      </c>
      <c r="G18">
        <v>0</v>
      </c>
      <c r="H18">
        <v>0</v>
      </c>
      <c r="I18">
        <v>233734</v>
      </c>
      <c r="J18">
        <v>12.35</v>
      </c>
      <c r="L18" t="s">
        <v>12</v>
      </c>
    </row>
    <row r="19" spans="1:12" x14ac:dyDescent="0.35">
      <c r="A19">
        <v>909</v>
      </c>
      <c r="B19">
        <v>0</v>
      </c>
      <c r="C19">
        <v>3</v>
      </c>
      <c r="D19" t="s">
        <v>37</v>
      </c>
      <c r="E19" t="s">
        <v>11</v>
      </c>
      <c r="F19">
        <v>21</v>
      </c>
      <c r="G19">
        <v>0</v>
      </c>
      <c r="H19">
        <v>0</v>
      </c>
      <c r="I19">
        <v>2692</v>
      </c>
      <c r="J19">
        <v>7.2249999999999996</v>
      </c>
      <c r="L19" t="s">
        <v>23</v>
      </c>
    </row>
    <row r="20" spans="1:12" x14ac:dyDescent="0.35">
      <c r="A20">
        <v>910</v>
      </c>
      <c r="B20">
        <v>1</v>
      </c>
      <c r="C20">
        <v>3</v>
      </c>
      <c r="D20" t="s">
        <v>38</v>
      </c>
      <c r="E20" t="s">
        <v>14</v>
      </c>
      <c r="F20">
        <v>27</v>
      </c>
      <c r="G20">
        <v>1</v>
      </c>
      <c r="H20">
        <v>0</v>
      </c>
      <c r="I20" t="s">
        <v>39</v>
      </c>
      <c r="J20">
        <v>7.9249999999999998</v>
      </c>
      <c r="L20" t="s">
        <v>15</v>
      </c>
    </row>
    <row r="21" spans="1:12" x14ac:dyDescent="0.35">
      <c r="A21">
        <v>911</v>
      </c>
      <c r="B21">
        <v>1</v>
      </c>
      <c r="C21">
        <v>3</v>
      </c>
      <c r="D21" t="s">
        <v>40</v>
      </c>
      <c r="E21" t="s">
        <v>14</v>
      </c>
      <c r="F21">
        <v>45</v>
      </c>
      <c r="G21">
        <v>0</v>
      </c>
      <c r="H21">
        <v>0</v>
      </c>
      <c r="I21">
        <v>2696</v>
      </c>
      <c r="J21">
        <v>7.2249999999999996</v>
      </c>
      <c r="L21" t="s">
        <v>23</v>
      </c>
    </row>
    <row r="22" spans="1:12" x14ac:dyDescent="0.35">
      <c r="A22">
        <v>912</v>
      </c>
      <c r="B22">
        <v>0</v>
      </c>
      <c r="C22">
        <v>1</v>
      </c>
      <c r="D22" t="s">
        <v>41</v>
      </c>
      <c r="E22" t="s">
        <v>11</v>
      </c>
      <c r="F22">
        <v>55</v>
      </c>
      <c r="G22">
        <v>1</v>
      </c>
      <c r="H22">
        <v>0</v>
      </c>
      <c r="I22" t="s">
        <v>42</v>
      </c>
      <c r="J22">
        <v>59.4</v>
      </c>
      <c r="L22" t="s">
        <v>23</v>
      </c>
    </row>
    <row r="23" spans="1:12" x14ac:dyDescent="0.35">
      <c r="A23">
        <v>913</v>
      </c>
      <c r="B23">
        <v>0</v>
      </c>
      <c r="C23">
        <v>3</v>
      </c>
      <c r="D23" t="s">
        <v>43</v>
      </c>
      <c r="E23" t="s">
        <v>11</v>
      </c>
      <c r="F23">
        <v>9</v>
      </c>
      <c r="G23">
        <v>0</v>
      </c>
      <c r="H23">
        <v>1</v>
      </c>
      <c r="I23" t="s">
        <v>44</v>
      </c>
      <c r="J23">
        <v>3.1707999999999998</v>
      </c>
      <c r="L23" t="s">
        <v>15</v>
      </c>
    </row>
    <row r="24" spans="1:12" x14ac:dyDescent="0.35">
      <c r="A24">
        <v>914</v>
      </c>
      <c r="B24">
        <v>1</v>
      </c>
      <c r="C24">
        <v>1</v>
      </c>
      <c r="D24" t="s">
        <v>45</v>
      </c>
      <c r="E24" t="s">
        <v>14</v>
      </c>
      <c r="G24">
        <v>0</v>
      </c>
      <c r="H24">
        <v>0</v>
      </c>
      <c r="I24" t="s">
        <v>46</v>
      </c>
      <c r="J24">
        <v>31.683299999999999</v>
      </c>
      <c r="L24" t="s">
        <v>15</v>
      </c>
    </row>
    <row r="25" spans="1:12" x14ac:dyDescent="0.35">
      <c r="A25">
        <v>915</v>
      </c>
      <c r="B25">
        <v>0</v>
      </c>
      <c r="C25">
        <v>1</v>
      </c>
      <c r="D25" t="s">
        <v>47</v>
      </c>
      <c r="E25" t="s">
        <v>11</v>
      </c>
      <c r="F25">
        <v>21</v>
      </c>
      <c r="G25">
        <v>0</v>
      </c>
      <c r="H25">
        <v>1</v>
      </c>
      <c r="I25" t="s">
        <v>48</v>
      </c>
      <c r="J25">
        <v>61.379199999999997</v>
      </c>
      <c r="L25" t="s">
        <v>23</v>
      </c>
    </row>
    <row r="26" spans="1:12" x14ac:dyDescent="0.35">
      <c r="A26">
        <v>916</v>
      </c>
      <c r="B26">
        <v>1</v>
      </c>
      <c r="C26">
        <v>1</v>
      </c>
      <c r="D26" t="s">
        <v>49</v>
      </c>
      <c r="E26" t="s">
        <v>14</v>
      </c>
      <c r="F26">
        <v>48</v>
      </c>
      <c r="G26">
        <v>1</v>
      </c>
      <c r="H26">
        <v>3</v>
      </c>
      <c r="I26" t="s">
        <v>50</v>
      </c>
      <c r="J26">
        <v>262.375</v>
      </c>
      <c r="K26" t="s">
        <v>51</v>
      </c>
      <c r="L26" t="s">
        <v>23</v>
      </c>
    </row>
    <row r="27" spans="1:12" x14ac:dyDescent="0.35">
      <c r="A27">
        <v>917</v>
      </c>
      <c r="B27">
        <v>0</v>
      </c>
      <c r="C27">
        <v>3</v>
      </c>
      <c r="D27" t="s">
        <v>52</v>
      </c>
      <c r="E27" t="s">
        <v>11</v>
      </c>
      <c r="F27">
        <v>50</v>
      </c>
      <c r="G27">
        <v>1</v>
      </c>
      <c r="H27">
        <v>0</v>
      </c>
      <c r="I27" t="s">
        <v>53</v>
      </c>
      <c r="J27">
        <v>14.5</v>
      </c>
      <c r="L27" t="s">
        <v>15</v>
      </c>
    </row>
    <row r="28" spans="1:12" x14ac:dyDescent="0.35">
      <c r="A28">
        <v>918</v>
      </c>
      <c r="B28">
        <v>1</v>
      </c>
      <c r="C28">
        <v>1</v>
      </c>
      <c r="D28" t="s">
        <v>54</v>
      </c>
      <c r="E28" t="s">
        <v>14</v>
      </c>
      <c r="F28">
        <v>22</v>
      </c>
      <c r="G28">
        <v>0</v>
      </c>
      <c r="H28">
        <v>1</v>
      </c>
      <c r="I28">
        <v>113509</v>
      </c>
      <c r="J28">
        <v>61.979199999999999</v>
      </c>
      <c r="K28" t="s">
        <v>55</v>
      </c>
      <c r="L28" t="s">
        <v>23</v>
      </c>
    </row>
    <row r="29" spans="1:12" x14ac:dyDescent="0.35">
      <c r="A29">
        <v>919</v>
      </c>
      <c r="B29">
        <v>0</v>
      </c>
      <c r="C29">
        <v>3</v>
      </c>
      <c r="D29" t="s">
        <v>56</v>
      </c>
      <c r="E29" t="s">
        <v>11</v>
      </c>
      <c r="F29">
        <v>22.5</v>
      </c>
      <c r="G29">
        <v>0</v>
      </c>
      <c r="H29">
        <v>0</v>
      </c>
      <c r="I29">
        <v>2698</v>
      </c>
      <c r="J29">
        <v>7.2249999999999996</v>
      </c>
      <c r="L29" t="s">
        <v>23</v>
      </c>
    </row>
    <row r="30" spans="1:12" x14ac:dyDescent="0.35">
      <c r="A30">
        <v>920</v>
      </c>
      <c r="B30">
        <v>0</v>
      </c>
      <c r="C30">
        <v>1</v>
      </c>
      <c r="D30" t="s">
        <v>57</v>
      </c>
      <c r="E30" t="s">
        <v>11</v>
      </c>
      <c r="F30">
        <v>41</v>
      </c>
      <c r="G30">
        <v>0</v>
      </c>
      <c r="H30">
        <v>0</v>
      </c>
      <c r="I30">
        <v>113054</v>
      </c>
      <c r="J30">
        <v>30.5</v>
      </c>
      <c r="K30" t="s">
        <v>58</v>
      </c>
      <c r="L30" t="s">
        <v>15</v>
      </c>
    </row>
    <row r="31" spans="1:12" x14ac:dyDescent="0.35">
      <c r="A31">
        <v>921</v>
      </c>
      <c r="B31">
        <v>0</v>
      </c>
      <c r="C31">
        <v>3</v>
      </c>
      <c r="D31" t="s">
        <v>59</v>
      </c>
      <c r="E31" t="s">
        <v>11</v>
      </c>
      <c r="G31">
        <v>2</v>
      </c>
      <c r="H31">
        <v>0</v>
      </c>
      <c r="I31">
        <v>2662</v>
      </c>
      <c r="J31">
        <v>21.679200000000002</v>
      </c>
      <c r="L31" t="s">
        <v>23</v>
      </c>
    </row>
    <row r="32" spans="1:12" x14ac:dyDescent="0.35">
      <c r="A32">
        <v>922</v>
      </c>
      <c r="B32">
        <v>0</v>
      </c>
      <c r="C32">
        <v>2</v>
      </c>
      <c r="D32" t="s">
        <v>60</v>
      </c>
      <c r="E32" t="s">
        <v>11</v>
      </c>
      <c r="F32">
        <v>50</v>
      </c>
      <c r="G32">
        <v>1</v>
      </c>
      <c r="H32">
        <v>0</v>
      </c>
      <c r="I32" t="s">
        <v>61</v>
      </c>
      <c r="J32">
        <v>26</v>
      </c>
      <c r="L32" t="s">
        <v>15</v>
      </c>
    </row>
    <row r="33" spans="1:12" x14ac:dyDescent="0.35">
      <c r="A33">
        <v>923</v>
      </c>
      <c r="B33">
        <v>0</v>
      </c>
      <c r="C33">
        <v>2</v>
      </c>
      <c r="D33" t="s">
        <v>62</v>
      </c>
      <c r="E33" t="s">
        <v>11</v>
      </c>
      <c r="F33">
        <v>24</v>
      </c>
      <c r="G33">
        <v>2</v>
      </c>
      <c r="H33">
        <v>0</v>
      </c>
      <c r="I33" t="s">
        <v>63</v>
      </c>
      <c r="J33">
        <v>31.5</v>
      </c>
      <c r="L33" t="s">
        <v>15</v>
      </c>
    </row>
    <row r="34" spans="1:12" x14ac:dyDescent="0.35">
      <c r="A34">
        <v>924</v>
      </c>
      <c r="B34">
        <v>1</v>
      </c>
      <c r="C34">
        <v>3</v>
      </c>
      <c r="D34" t="s">
        <v>64</v>
      </c>
      <c r="E34" t="s">
        <v>14</v>
      </c>
      <c r="F34">
        <v>33</v>
      </c>
      <c r="G34">
        <v>1</v>
      </c>
      <c r="H34">
        <v>2</v>
      </c>
      <c r="I34" t="s">
        <v>65</v>
      </c>
      <c r="J34">
        <v>20.574999999999999</v>
      </c>
      <c r="L34" t="s">
        <v>15</v>
      </c>
    </row>
    <row r="35" spans="1:12" x14ac:dyDescent="0.35">
      <c r="A35">
        <v>925</v>
      </c>
      <c r="B35">
        <v>1</v>
      </c>
      <c r="C35">
        <v>3</v>
      </c>
      <c r="D35" t="s">
        <v>66</v>
      </c>
      <c r="E35" t="s">
        <v>14</v>
      </c>
      <c r="G35">
        <v>1</v>
      </c>
      <c r="H35">
        <v>2</v>
      </c>
      <c r="I35" t="s">
        <v>67</v>
      </c>
      <c r="J35">
        <v>23.45</v>
      </c>
      <c r="L35" t="s">
        <v>15</v>
      </c>
    </row>
    <row r="36" spans="1:12" x14ac:dyDescent="0.35">
      <c r="A36">
        <v>926</v>
      </c>
      <c r="B36">
        <v>0</v>
      </c>
      <c r="C36">
        <v>1</v>
      </c>
      <c r="D36" t="s">
        <v>68</v>
      </c>
      <c r="E36" t="s">
        <v>11</v>
      </c>
      <c r="F36">
        <v>30</v>
      </c>
      <c r="G36">
        <v>1</v>
      </c>
      <c r="H36">
        <v>0</v>
      </c>
      <c r="I36">
        <v>13236</v>
      </c>
      <c r="J36">
        <v>57.75</v>
      </c>
      <c r="K36" t="s">
        <v>69</v>
      </c>
      <c r="L36" t="s">
        <v>23</v>
      </c>
    </row>
    <row r="37" spans="1:12" x14ac:dyDescent="0.35">
      <c r="A37">
        <v>927</v>
      </c>
      <c r="B37">
        <v>0</v>
      </c>
      <c r="C37">
        <v>3</v>
      </c>
      <c r="D37" t="s">
        <v>70</v>
      </c>
      <c r="E37" t="s">
        <v>11</v>
      </c>
      <c r="F37">
        <v>18.5</v>
      </c>
      <c r="G37">
        <v>0</v>
      </c>
      <c r="H37">
        <v>0</v>
      </c>
      <c r="I37">
        <v>2682</v>
      </c>
      <c r="J37">
        <v>7.2291999999999996</v>
      </c>
      <c r="L37" t="s">
        <v>23</v>
      </c>
    </row>
    <row r="38" spans="1:12" x14ac:dyDescent="0.35">
      <c r="A38">
        <v>928</v>
      </c>
      <c r="B38">
        <v>1</v>
      </c>
      <c r="C38">
        <v>3</v>
      </c>
      <c r="D38" t="s">
        <v>71</v>
      </c>
      <c r="E38" t="s">
        <v>14</v>
      </c>
      <c r="G38">
        <v>0</v>
      </c>
      <c r="H38">
        <v>0</v>
      </c>
      <c r="I38">
        <v>342712</v>
      </c>
      <c r="J38">
        <v>8.0500000000000007</v>
      </c>
      <c r="L38" t="s">
        <v>15</v>
      </c>
    </row>
    <row r="39" spans="1:12" x14ac:dyDescent="0.35">
      <c r="A39">
        <v>929</v>
      </c>
      <c r="B39">
        <v>1</v>
      </c>
      <c r="C39">
        <v>3</v>
      </c>
      <c r="D39" t="s">
        <v>72</v>
      </c>
      <c r="E39" t="s">
        <v>14</v>
      </c>
      <c r="F39">
        <v>21</v>
      </c>
      <c r="G39">
        <v>0</v>
      </c>
      <c r="H39">
        <v>0</v>
      </c>
      <c r="I39">
        <v>315087</v>
      </c>
      <c r="J39">
        <v>8.6624999999999996</v>
      </c>
      <c r="L39" t="s">
        <v>15</v>
      </c>
    </row>
    <row r="40" spans="1:12" x14ac:dyDescent="0.35">
      <c r="A40">
        <v>930</v>
      </c>
      <c r="B40">
        <v>0</v>
      </c>
      <c r="C40">
        <v>3</v>
      </c>
      <c r="D40" t="s">
        <v>73</v>
      </c>
      <c r="E40" t="s">
        <v>11</v>
      </c>
      <c r="F40">
        <v>25</v>
      </c>
      <c r="G40">
        <v>0</v>
      </c>
      <c r="H40">
        <v>0</v>
      </c>
      <c r="I40">
        <v>345768</v>
      </c>
      <c r="J40">
        <v>9.5</v>
      </c>
      <c r="L40" t="s">
        <v>15</v>
      </c>
    </row>
    <row r="41" spans="1:12" x14ac:dyDescent="0.35">
      <c r="A41">
        <v>931</v>
      </c>
      <c r="B41">
        <v>0</v>
      </c>
      <c r="C41">
        <v>3</v>
      </c>
      <c r="D41" t="s">
        <v>74</v>
      </c>
      <c r="E41" t="s">
        <v>11</v>
      </c>
      <c r="G41">
        <v>0</v>
      </c>
      <c r="H41">
        <v>0</v>
      </c>
      <c r="I41">
        <v>1601</v>
      </c>
      <c r="J41">
        <v>56.495800000000003</v>
      </c>
      <c r="L41" t="s">
        <v>15</v>
      </c>
    </row>
    <row r="42" spans="1:12" x14ac:dyDescent="0.35">
      <c r="A42">
        <v>932</v>
      </c>
      <c r="B42">
        <v>0</v>
      </c>
      <c r="C42">
        <v>3</v>
      </c>
      <c r="D42" t="s">
        <v>75</v>
      </c>
      <c r="E42" t="s">
        <v>11</v>
      </c>
      <c r="F42">
        <v>39</v>
      </c>
      <c r="G42">
        <v>0</v>
      </c>
      <c r="H42">
        <v>1</v>
      </c>
      <c r="I42">
        <v>349256</v>
      </c>
      <c r="J42">
        <v>13.416700000000001</v>
      </c>
      <c r="L42" t="s">
        <v>23</v>
      </c>
    </row>
    <row r="43" spans="1:12" x14ac:dyDescent="0.35">
      <c r="A43">
        <v>933</v>
      </c>
      <c r="B43">
        <v>0</v>
      </c>
      <c r="C43">
        <v>1</v>
      </c>
      <c r="D43" t="s">
        <v>76</v>
      </c>
      <c r="E43" t="s">
        <v>11</v>
      </c>
      <c r="G43">
        <v>0</v>
      </c>
      <c r="H43">
        <v>0</v>
      </c>
      <c r="I43">
        <v>113778</v>
      </c>
      <c r="J43">
        <v>26.55</v>
      </c>
      <c r="K43" t="s">
        <v>77</v>
      </c>
      <c r="L43" t="s">
        <v>15</v>
      </c>
    </row>
    <row r="44" spans="1:12" x14ac:dyDescent="0.35">
      <c r="A44">
        <v>934</v>
      </c>
      <c r="B44">
        <v>0</v>
      </c>
      <c r="C44">
        <v>3</v>
      </c>
      <c r="D44" t="s">
        <v>78</v>
      </c>
      <c r="E44" t="s">
        <v>11</v>
      </c>
      <c r="F44">
        <v>41</v>
      </c>
      <c r="G44">
        <v>0</v>
      </c>
      <c r="H44">
        <v>0</v>
      </c>
      <c r="I44" t="s">
        <v>79</v>
      </c>
      <c r="J44">
        <v>7.85</v>
      </c>
      <c r="L44" t="s">
        <v>15</v>
      </c>
    </row>
    <row r="45" spans="1:12" x14ac:dyDescent="0.35">
      <c r="A45">
        <v>935</v>
      </c>
      <c r="B45">
        <v>1</v>
      </c>
      <c r="C45">
        <v>2</v>
      </c>
      <c r="D45" t="s">
        <v>80</v>
      </c>
      <c r="E45" t="s">
        <v>14</v>
      </c>
      <c r="F45">
        <v>30</v>
      </c>
      <c r="G45">
        <v>0</v>
      </c>
      <c r="H45">
        <v>0</v>
      </c>
      <c r="I45">
        <v>237249</v>
      </c>
      <c r="J45">
        <v>13</v>
      </c>
      <c r="L45" t="s">
        <v>15</v>
      </c>
    </row>
    <row r="46" spans="1:12" x14ac:dyDescent="0.35">
      <c r="A46">
        <v>936</v>
      </c>
      <c r="B46">
        <v>1</v>
      </c>
      <c r="C46">
        <v>1</v>
      </c>
      <c r="D46" t="s">
        <v>81</v>
      </c>
      <c r="E46" t="s">
        <v>14</v>
      </c>
      <c r="F46">
        <v>45</v>
      </c>
      <c r="G46">
        <v>1</v>
      </c>
      <c r="H46">
        <v>0</v>
      </c>
      <c r="I46">
        <v>11753</v>
      </c>
      <c r="J46">
        <v>52.554200000000002</v>
      </c>
      <c r="K46" t="s">
        <v>82</v>
      </c>
      <c r="L46" t="s">
        <v>15</v>
      </c>
    </row>
    <row r="47" spans="1:12" x14ac:dyDescent="0.35">
      <c r="A47">
        <v>937</v>
      </c>
      <c r="B47">
        <v>0</v>
      </c>
      <c r="C47">
        <v>3</v>
      </c>
      <c r="D47" t="s">
        <v>83</v>
      </c>
      <c r="E47" t="s">
        <v>11</v>
      </c>
      <c r="F47">
        <v>25</v>
      </c>
      <c r="G47">
        <v>0</v>
      </c>
      <c r="H47">
        <v>0</v>
      </c>
      <c r="I47" t="s">
        <v>84</v>
      </c>
      <c r="J47">
        <v>7.9249999999999998</v>
      </c>
      <c r="L47" t="s">
        <v>15</v>
      </c>
    </row>
    <row r="48" spans="1:12" x14ac:dyDescent="0.35">
      <c r="A48">
        <v>938</v>
      </c>
      <c r="B48">
        <v>0</v>
      </c>
      <c r="C48">
        <v>1</v>
      </c>
      <c r="D48" t="s">
        <v>85</v>
      </c>
      <c r="E48" t="s">
        <v>11</v>
      </c>
      <c r="F48">
        <v>45</v>
      </c>
      <c r="G48">
        <v>0</v>
      </c>
      <c r="H48">
        <v>0</v>
      </c>
      <c r="I48" t="s">
        <v>86</v>
      </c>
      <c r="J48">
        <v>29.7</v>
      </c>
      <c r="K48" t="s">
        <v>87</v>
      </c>
      <c r="L48" t="s">
        <v>23</v>
      </c>
    </row>
    <row r="49" spans="1:12" x14ac:dyDescent="0.35">
      <c r="A49">
        <v>939</v>
      </c>
      <c r="B49">
        <v>0</v>
      </c>
      <c r="C49">
        <v>3</v>
      </c>
      <c r="D49" t="s">
        <v>88</v>
      </c>
      <c r="E49" t="s">
        <v>11</v>
      </c>
      <c r="G49">
        <v>0</v>
      </c>
      <c r="H49">
        <v>0</v>
      </c>
      <c r="I49">
        <v>370374</v>
      </c>
      <c r="J49">
        <v>7.75</v>
      </c>
      <c r="L49" t="s">
        <v>12</v>
      </c>
    </row>
    <row r="50" spans="1:12" x14ac:dyDescent="0.35">
      <c r="A50">
        <v>940</v>
      </c>
      <c r="B50">
        <v>1</v>
      </c>
      <c r="C50">
        <v>1</v>
      </c>
      <c r="D50" t="s">
        <v>89</v>
      </c>
      <c r="E50" t="s">
        <v>14</v>
      </c>
      <c r="F50">
        <v>60</v>
      </c>
      <c r="G50">
        <v>0</v>
      </c>
      <c r="H50">
        <v>0</v>
      </c>
      <c r="I50">
        <v>11813</v>
      </c>
      <c r="J50">
        <v>76.291700000000006</v>
      </c>
      <c r="K50" t="s">
        <v>90</v>
      </c>
      <c r="L50" t="s">
        <v>23</v>
      </c>
    </row>
    <row r="51" spans="1:12" x14ac:dyDescent="0.35">
      <c r="A51">
        <v>941</v>
      </c>
      <c r="B51">
        <v>1</v>
      </c>
      <c r="C51">
        <v>3</v>
      </c>
      <c r="D51" t="s">
        <v>91</v>
      </c>
      <c r="E51" t="s">
        <v>14</v>
      </c>
      <c r="F51">
        <v>36</v>
      </c>
      <c r="G51">
        <v>0</v>
      </c>
      <c r="H51">
        <v>2</v>
      </c>
      <c r="I51" t="s">
        <v>92</v>
      </c>
      <c r="J51">
        <v>15.9</v>
      </c>
      <c r="L51" t="s">
        <v>15</v>
      </c>
    </row>
    <row r="52" spans="1:12" x14ac:dyDescent="0.35">
      <c r="A52">
        <v>942</v>
      </c>
      <c r="B52">
        <v>0</v>
      </c>
      <c r="C52">
        <v>1</v>
      </c>
      <c r="D52" t="s">
        <v>93</v>
      </c>
      <c r="E52" t="s">
        <v>11</v>
      </c>
      <c r="F52">
        <v>24</v>
      </c>
      <c r="G52">
        <v>1</v>
      </c>
      <c r="H52">
        <v>0</v>
      </c>
      <c r="I52">
        <v>13695</v>
      </c>
      <c r="J52">
        <v>60</v>
      </c>
      <c r="K52" t="s">
        <v>94</v>
      </c>
      <c r="L52" t="s">
        <v>15</v>
      </c>
    </row>
    <row r="53" spans="1:12" x14ac:dyDescent="0.35">
      <c r="A53">
        <v>943</v>
      </c>
      <c r="B53">
        <v>0</v>
      </c>
      <c r="C53">
        <v>2</v>
      </c>
      <c r="D53" t="s">
        <v>95</v>
      </c>
      <c r="E53" t="s">
        <v>11</v>
      </c>
      <c r="F53">
        <v>27</v>
      </c>
      <c r="G53">
        <v>0</v>
      </c>
      <c r="H53">
        <v>0</v>
      </c>
      <c r="I53" t="s">
        <v>96</v>
      </c>
      <c r="J53">
        <v>15.033300000000001</v>
      </c>
      <c r="L53" t="s">
        <v>23</v>
      </c>
    </row>
    <row r="54" spans="1:12" x14ac:dyDescent="0.35">
      <c r="A54">
        <v>944</v>
      </c>
      <c r="B54">
        <v>1</v>
      </c>
      <c r="C54">
        <v>2</v>
      </c>
      <c r="D54" t="s">
        <v>97</v>
      </c>
      <c r="E54" t="s">
        <v>14</v>
      </c>
      <c r="F54">
        <v>20</v>
      </c>
      <c r="G54">
        <v>2</v>
      </c>
      <c r="H54">
        <v>1</v>
      </c>
      <c r="I54">
        <v>29105</v>
      </c>
      <c r="J54">
        <v>23</v>
      </c>
      <c r="L54" t="s">
        <v>15</v>
      </c>
    </row>
    <row r="55" spans="1:12" x14ac:dyDescent="0.35">
      <c r="A55">
        <v>945</v>
      </c>
      <c r="B55">
        <v>1</v>
      </c>
      <c r="C55">
        <v>1</v>
      </c>
      <c r="D55" t="s">
        <v>98</v>
      </c>
      <c r="E55" t="s">
        <v>14</v>
      </c>
      <c r="F55">
        <v>28</v>
      </c>
      <c r="G55">
        <v>3</v>
      </c>
      <c r="H55">
        <v>2</v>
      </c>
      <c r="I55">
        <v>19950</v>
      </c>
      <c r="J55">
        <v>263</v>
      </c>
      <c r="K55" t="s">
        <v>99</v>
      </c>
      <c r="L55" t="s">
        <v>15</v>
      </c>
    </row>
    <row r="56" spans="1:12" x14ac:dyDescent="0.35">
      <c r="A56">
        <v>946</v>
      </c>
      <c r="B56">
        <v>0</v>
      </c>
      <c r="C56">
        <v>2</v>
      </c>
      <c r="D56" t="s">
        <v>100</v>
      </c>
      <c r="E56" t="s">
        <v>11</v>
      </c>
      <c r="G56">
        <v>0</v>
      </c>
      <c r="H56">
        <v>0</v>
      </c>
      <c r="I56" t="s">
        <v>101</v>
      </c>
      <c r="J56">
        <v>15.5792</v>
      </c>
      <c r="L56" t="s">
        <v>23</v>
      </c>
    </row>
    <row r="57" spans="1:12" x14ac:dyDescent="0.35">
      <c r="A57">
        <v>947</v>
      </c>
      <c r="B57">
        <v>0</v>
      </c>
      <c r="C57">
        <v>3</v>
      </c>
      <c r="D57" t="s">
        <v>102</v>
      </c>
      <c r="E57" t="s">
        <v>11</v>
      </c>
      <c r="F57">
        <v>10</v>
      </c>
      <c r="G57">
        <v>4</v>
      </c>
      <c r="H57">
        <v>1</v>
      </c>
      <c r="I57">
        <v>382652</v>
      </c>
      <c r="J57">
        <v>29.125</v>
      </c>
      <c r="L57" t="s">
        <v>12</v>
      </c>
    </row>
    <row r="58" spans="1:12" x14ac:dyDescent="0.35">
      <c r="A58">
        <v>948</v>
      </c>
      <c r="B58">
        <v>0</v>
      </c>
      <c r="C58">
        <v>3</v>
      </c>
      <c r="D58" t="s">
        <v>103</v>
      </c>
      <c r="E58" t="s">
        <v>11</v>
      </c>
      <c r="F58">
        <v>35</v>
      </c>
      <c r="G58">
        <v>0</v>
      </c>
      <c r="H58">
        <v>0</v>
      </c>
      <c r="I58">
        <v>349230</v>
      </c>
      <c r="J58">
        <v>7.8958000000000004</v>
      </c>
      <c r="L58" t="s">
        <v>15</v>
      </c>
    </row>
    <row r="59" spans="1:12" x14ac:dyDescent="0.35">
      <c r="A59">
        <v>949</v>
      </c>
      <c r="B59">
        <v>0</v>
      </c>
      <c r="C59">
        <v>3</v>
      </c>
      <c r="D59" t="s">
        <v>104</v>
      </c>
      <c r="E59" t="s">
        <v>11</v>
      </c>
      <c r="F59">
        <v>25</v>
      </c>
      <c r="G59">
        <v>0</v>
      </c>
      <c r="H59">
        <v>0</v>
      </c>
      <c r="I59">
        <v>348122</v>
      </c>
      <c r="J59">
        <v>7.65</v>
      </c>
      <c r="K59" t="s">
        <v>105</v>
      </c>
      <c r="L59" t="s">
        <v>15</v>
      </c>
    </row>
    <row r="60" spans="1:12" x14ac:dyDescent="0.35">
      <c r="A60">
        <v>950</v>
      </c>
      <c r="B60">
        <v>0</v>
      </c>
      <c r="C60">
        <v>3</v>
      </c>
      <c r="D60" t="s">
        <v>106</v>
      </c>
      <c r="E60" t="s">
        <v>11</v>
      </c>
      <c r="G60">
        <v>1</v>
      </c>
      <c r="H60">
        <v>0</v>
      </c>
      <c r="I60">
        <v>386525</v>
      </c>
      <c r="J60">
        <v>16.100000000000001</v>
      </c>
      <c r="L60" t="s">
        <v>15</v>
      </c>
    </row>
    <row r="61" spans="1:12" x14ac:dyDescent="0.35">
      <c r="A61">
        <v>951</v>
      </c>
      <c r="B61">
        <v>1</v>
      </c>
      <c r="C61">
        <v>1</v>
      </c>
      <c r="D61" t="s">
        <v>107</v>
      </c>
      <c r="E61" t="s">
        <v>14</v>
      </c>
      <c r="F61">
        <v>36</v>
      </c>
      <c r="G61">
        <v>0</v>
      </c>
      <c r="H61">
        <v>0</v>
      </c>
      <c r="I61" t="s">
        <v>50</v>
      </c>
      <c r="J61">
        <v>262.375</v>
      </c>
      <c r="K61" t="s">
        <v>108</v>
      </c>
      <c r="L61" t="s">
        <v>23</v>
      </c>
    </row>
    <row r="62" spans="1:12" x14ac:dyDescent="0.35">
      <c r="A62">
        <v>952</v>
      </c>
      <c r="B62">
        <v>0</v>
      </c>
      <c r="C62">
        <v>3</v>
      </c>
      <c r="D62" t="s">
        <v>109</v>
      </c>
      <c r="E62" t="s">
        <v>11</v>
      </c>
      <c r="F62">
        <v>17</v>
      </c>
      <c r="G62">
        <v>0</v>
      </c>
      <c r="H62">
        <v>0</v>
      </c>
      <c r="I62">
        <v>349232</v>
      </c>
      <c r="J62">
        <v>7.8958000000000004</v>
      </c>
      <c r="L62" t="s">
        <v>15</v>
      </c>
    </row>
    <row r="63" spans="1:12" x14ac:dyDescent="0.35">
      <c r="A63">
        <v>953</v>
      </c>
      <c r="B63">
        <v>0</v>
      </c>
      <c r="C63">
        <v>2</v>
      </c>
      <c r="D63" t="s">
        <v>110</v>
      </c>
      <c r="E63" t="s">
        <v>11</v>
      </c>
      <c r="F63">
        <v>32</v>
      </c>
      <c r="G63">
        <v>0</v>
      </c>
      <c r="H63">
        <v>0</v>
      </c>
      <c r="I63">
        <v>237216</v>
      </c>
      <c r="J63">
        <v>13.5</v>
      </c>
      <c r="L63" t="s">
        <v>15</v>
      </c>
    </row>
    <row r="64" spans="1:12" x14ac:dyDescent="0.35">
      <c r="A64">
        <v>954</v>
      </c>
      <c r="B64">
        <v>0</v>
      </c>
      <c r="C64">
        <v>3</v>
      </c>
      <c r="D64" t="s">
        <v>111</v>
      </c>
      <c r="E64" t="s">
        <v>11</v>
      </c>
      <c r="F64">
        <v>18</v>
      </c>
      <c r="G64">
        <v>0</v>
      </c>
      <c r="H64">
        <v>0</v>
      </c>
      <c r="I64">
        <v>347090</v>
      </c>
      <c r="J64">
        <v>7.75</v>
      </c>
      <c r="L64" t="s">
        <v>15</v>
      </c>
    </row>
    <row r="65" spans="1:12" x14ac:dyDescent="0.35">
      <c r="A65">
        <v>955</v>
      </c>
      <c r="B65">
        <v>1</v>
      </c>
      <c r="C65">
        <v>3</v>
      </c>
      <c r="D65" t="s">
        <v>112</v>
      </c>
      <c r="E65" t="s">
        <v>14</v>
      </c>
      <c r="F65">
        <v>22</v>
      </c>
      <c r="G65">
        <v>0</v>
      </c>
      <c r="H65">
        <v>0</v>
      </c>
      <c r="I65">
        <v>334914</v>
      </c>
      <c r="J65">
        <v>7.7249999999999996</v>
      </c>
      <c r="L65" t="s">
        <v>12</v>
      </c>
    </row>
    <row r="66" spans="1:12" x14ac:dyDescent="0.35">
      <c r="A66">
        <v>956</v>
      </c>
      <c r="B66">
        <v>0</v>
      </c>
      <c r="C66">
        <v>1</v>
      </c>
      <c r="D66" t="s">
        <v>113</v>
      </c>
      <c r="E66" t="s">
        <v>11</v>
      </c>
      <c r="F66">
        <v>13</v>
      </c>
      <c r="G66">
        <v>2</v>
      </c>
      <c r="H66">
        <v>2</v>
      </c>
      <c r="I66" t="s">
        <v>50</v>
      </c>
      <c r="J66">
        <v>262.375</v>
      </c>
      <c r="K66" t="s">
        <v>51</v>
      </c>
      <c r="L66" t="s">
        <v>23</v>
      </c>
    </row>
    <row r="67" spans="1:12" x14ac:dyDescent="0.35">
      <c r="A67">
        <v>957</v>
      </c>
      <c r="B67">
        <v>1</v>
      </c>
      <c r="C67">
        <v>2</v>
      </c>
      <c r="D67" t="s">
        <v>114</v>
      </c>
      <c r="E67" t="s">
        <v>14</v>
      </c>
      <c r="G67">
        <v>0</v>
      </c>
      <c r="H67">
        <v>0</v>
      </c>
      <c r="I67" t="s">
        <v>115</v>
      </c>
      <c r="J67">
        <v>21</v>
      </c>
      <c r="L67" t="s">
        <v>15</v>
      </c>
    </row>
    <row r="68" spans="1:12" x14ac:dyDescent="0.35">
      <c r="A68">
        <v>958</v>
      </c>
      <c r="B68">
        <v>1</v>
      </c>
      <c r="C68">
        <v>3</v>
      </c>
      <c r="D68" t="s">
        <v>116</v>
      </c>
      <c r="E68" t="s">
        <v>14</v>
      </c>
      <c r="F68">
        <v>18</v>
      </c>
      <c r="G68">
        <v>0</v>
      </c>
      <c r="H68">
        <v>0</v>
      </c>
      <c r="I68">
        <v>330963</v>
      </c>
      <c r="J68">
        <v>7.8792</v>
      </c>
      <c r="L68" t="s">
        <v>12</v>
      </c>
    </row>
    <row r="69" spans="1:12" x14ac:dyDescent="0.35">
      <c r="A69">
        <v>959</v>
      </c>
      <c r="B69">
        <v>0</v>
      </c>
      <c r="C69">
        <v>1</v>
      </c>
      <c r="D69" t="s">
        <v>117</v>
      </c>
      <c r="E69" t="s">
        <v>11</v>
      </c>
      <c r="F69">
        <v>47</v>
      </c>
      <c r="G69">
        <v>0</v>
      </c>
      <c r="H69">
        <v>0</v>
      </c>
      <c r="I69">
        <v>113796</v>
      </c>
      <c r="J69">
        <v>42.4</v>
      </c>
      <c r="L69" t="s">
        <v>15</v>
      </c>
    </row>
    <row r="70" spans="1:12" x14ac:dyDescent="0.35">
      <c r="A70">
        <v>960</v>
      </c>
      <c r="B70">
        <v>0</v>
      </c>
      <c r="C70">
        <v>1</v>
      </c>
      <c r="D70" t="s">
        <v>118</v>
      </c>
      <c r="E70" t="s">
        <v>11</v>
      </c>
      <c r="F70">
        <v>31</v>
      </c>
      <c r="G70">
        <v>0</v>
      </c>
      <c r="H70">
        <v>0</v>
      </c>
      <c r="I70">
        <v>2543</v>
      </c>
      <c r="J70">
        <v>28.537500000000001</v>
      </c>
      <c r="K70" t="s">
        <v>119</v>
      </c>
      <c r="L70" t="s">
        <v>23</v>
      </c>
    </row>
    <row r="71" spans="1:12" x14ac:dyDescent="0.35">
      <c r="A71">
        <v>961</v>
      </c>
      <c r="B71">
        <v>1</v>
      </c>
      <c r="C71">
        <v>1</v>
      </c>
      <c r="D71" t="s">
        <v>120</v>
      </c>
      <c r="E71" t="s">
        <v>14</v>
      </c>
      <c r="F71">
        <v>60</v>
      </c>
      <c r="G71">
        <v>1</v>
      </c>
      <c r="H71">
        <v>4</v>
      </c>
      <c r="I71">
        <v>19950</v>
      </c>
      <c r="J71">
        <v>263</v>
      </c>
      <c r="K71" t="s">
        <v>99</v>
      </c>
      <c r="L71" t="s">
        <v>15</v>
      </c>
    </row>
    <row r="72" spans="1:12" x14ac:dyDescent="0.35">
      <c r="A72">
        <v>962</v>
      </c>
      <c r="B72">
        <v>1</v>
      </c>
      <c r="C72">
        <v>3</v>
      </c>
      <c r="D72" t="s">
        <v>121</v>
      </c>
      <c r="E72" t="s">
        <v>14</v>
      </c>
      <c r="F72">
        <v>24</v>
      </c>
      <c r="G72">
        <v>0</v>
      </c>
      <c r="H72">
        <v>0</v>
      </c>
      <c r="I72">
        <v>382653</v>
      </c>
      <c r="J72">
        <v>7.75</v>
      </c>
      <c r="L72" t="s">
        <v>12</v>
      </c>
    </row>
    <row r="73" spans="1:12" x14ac:dyDescent="0.35">
      <c r="A73">
        <v>963</v>
      </c>
      <c r="B73">
        <v>0</v>
      </c>
      <c r="C73">
        <v>3</v>
      </c>
      <c r="D73" t="s">
        <v>122</v>
      </c>
      <c r="E73" t="s">
        <v>11</v>
      </c>
      <c r="F73">
        <v>21</v>
      </c>
      <c r="G73">
        <v>0</v>
      </c>
      <c r="H73">
        <v>0</v>
      </c>
      <c r="I73">
        <v>349211</v>
      </c>
      <c r="J73">
        <v>7.8958000000000004</v>
      </c>
      <c r="L73" t="s">
        <v>15</v>
      </c>
    </row>
    <row r="74" spans="1:12" x14ac:dyDescent="0.35">
      <c r="A74">
        <v>964</v>
      </c>
      <c r="B74">
        <v>1</v>
      </c>
      <c r="C74">
        <v>3</v>
      </c>
      <c r="D74" t="s">
        <v>123</v>
      </c>
      <c r="E74" t="s">
        <v>14</v>
      </c>
      <c r="F74">
        <v>29</v>
      </c>
      <c r="G74">
        <v>0</v>
      </c>
      <c r="H74">
        <v>0</v>
      </c>
      <c r="I74">
        <v>3101297</v>
      </c>
      <c r="J74">
        <v>7.9249999999999998</v>
      </c>
      <c r="L74" t="s">
        <v>15</v>
      </c>
    </row>
    <row r="75" spans="1:12" x14ac:dyDescent="0.35">
      <c r="A75">
        <v>965</v>
      </c>
      <c r="B75">
        <v>0</v>
      </c>
      <c r="C75">
        <v>1</v>
      </c>
      <c r="D75" t="s">
        <v>124</v>
      </c>
      <c r="E75" t="s">
        <v>11</v>
      </c>
      <c r="F75">
        <v>28.5</v>
      </c>
      <c r="G75">
        <v>0</v>
      </c>
      <c r="H75">
        <v>0</v>
      </c>
      <c r="I75" t="s">
        <v>125</v>
      </c>
      <c r="J75">
        <v>27.720800000000001</v>
      </c>
      <c r="K75" t="s">
        <v>126</v>
      </c>
      <c r="L75" t="s">
        <v>23</v>
      </c>
    </row>
    <row r="76" spans="1:12" x14ac:dyDescent="0.35">
      <c r="A76">
        <v>966</v>
      </c>
      <c r="B76">
        <v>1</v>
      </c>
      <c r="C76">
        <v>1</v>
      </c>
      <c r="D76" t="s">
        <v>127</v>
      </c>
      <c r="E76" t="s">
        <v>14</v>
      </c>
      <c r="F76">
        <v>35</v>
      </c>
      <c r="G76">
        <v>0</v>
      </c>
      <c r="H76">
        <v>0</v>
      </c>
      <c r="I76">
        <v>113503</v>
      </c>
      <c r="J76">
        <v>211.5</v>
      </c>
      <c r="K76" t="s">
        <v>128</v>
      </c>
      <c r="L76" t="s">
        <v>23</v>
      </c>
    </row>
    <row r="77" spans="1:12" x14ac:dyDescent="0.35">
      <c r="A77">
        <v>967</v>
      </c>
      <c r="B77">
        <v>0</v>
      </c>
      <c r="C77">
        <v>1</v>
      </c>
      <c r="D77" t="s">
        <v>129</v>
      </c>
      <c r="E77" t="s">
        <v>11</v>
      </c>
      <c r="F77">
        <v>32.5</v>
      </c>
      <c r="G77">
        <v>0</v>
      </c>
      <c r="H77">
        <v>0</v>
      </c>
      <c r="I77">
        <v>113503</v>
      </c>
      <c r="J77">
        <v>211.5</v>
      </c>
      <c r="K77" t="s">
        <v>130</v>
      </c>
      <c r="L77" t="s">
        <v>23</v>
      </c>
    </row>
    <row r="78" spans="1:12" x14ac:dyDescent="0.35">
      <c r="A78">
        <v>968</v>
      </c>
      <c r="B78">
        <v>0</v>
      </c>
      <c r="C78">
        <v>3</v>
      </c>
      <c r="D78" t="s">
        <v>131</v>
      </c>
      <c r="E78" t="s">
        <v>11</v>
      </c>
      <c r="G78">
        <v>0</v>
      </c>
      <c r="H78">
        <v>0</v>
      </c>
      <c r="I78">
        <v>359306</v>
      </c>
      <c r="J78">
        <v>8.0500000000000007</v>
      </c>
      <c r="L78" t="s">
        <v>15</v>
      </c>
    </row>
    <row r="79" spans="1:12" x14ac:dyDescent="0.35">
      <c r="A79">
        <v>969</v>
      </c>
      <c r="B79">
        <v>1</v>
      </c>
      <c r="C79">
        <v>1</v>
      </c>
      <c r="D79" t="s">
        <v>132</v>
      </c>
      <c r="E79" t="s">
        <v>14</v>
      </c>
      <c r="F79">
        <v>55</v>
      </c>
      <c r="G79">
        <v>2</v>
      </c>
      <c r="H79">
        <v>0</v>
      </c>
      <c r="I79">
        <v>11770</v>
      </c>
      <c r="J79">
        <v>25.7</v>
      </c>
      <c r="K79" t="s">
        <v>133</v>
      </c>
      <c r="L79" t="s">
        <v>15</v>
      </c>
    </row>
    <row r="80" spans="1:12" x14ac:dyDescent="0.35">
      <c r="A80">
        <v>970</v>
      </c>
      <c r="B80">
        <v>0</v>
      </c>
      <c r="C80">
        <v>2</v>
      </c>
      <c r="D80" t="s">
        <v>134</v>
      </c>
      <c r="E80" t="s">
        <v>11</v>
      </c>
      <c r="F80">
        <v>30</v>
      </c>
      <c r="G80">
        <v>0</v>
      </c>
      <c r="H80">
        <v>0</v>
      </c>
      <c r="I80">
        <v>248744</v>
      </c>
      <c r="J80">
        <v>13</v>
      </c>
      <c r="L80" t="s">
        <v>15</v>
      </c>
    </row>
    <row r="81" spans="1:12" x14ac:dyDescent="0.35">
      <c r="A81">
        <v>971</v>
      </c>
      <c r="B81">
        <v>1</v>
      </c>
      <c r="C81">
        <v>3</v>
      </c>
      <c r="D81" t="s">
        <v>135</v>
      </c>
      <c r="E81" t="s">
        <v>14</v>
      </c>
      <c r="F81">
        <v>24</v>
      </c>
      <c r="G81">
        <v>0</v>
      </c>
      <c r="H81">
        <v>0</v>
      </c>
      <c r="I81">
        <v>368702</v>
      </c>
      <c r="J81">
        <v>7.75</v>
      </c>
      <c r="L81" t="s">
        <v>12</v>
      </c>
    </row>
    <row r="82" spans="1:12" x14ac:dyDescent="0.35">
      <c r="A82">
        <v>972</v>
      </c>
      <c r="B82">
        <v>0</v>
      </c>
      <c r="C82">
        <v>3</v>
      </c>
      <c r="D82" t="s">
        <v>136</v>
      </c>
      <c r="E82" t="s">
        <v>11</v>
      </c>
      <c r="F82">
        <v>6</v>
      </c>
      <c r="G82">
        <v>1</v>
      </c>
      <c r="H82">
        <v>1</v>
      </c>
      <c r="I82">
        <v>2678</v>
      </c>
      <c r="J82">
        <v>15.245799999999999</v>
      </c>
      <c r="L82" t="s">
        <v>23</v>
      </c>
    </row>
    <row r="83" spans="1:12" x14ac:dyDescent="0.35">
      <c r="A83">
        <v>973</v>
      </c>
      <c r="B83">
        <v>0</v>
      </c>
      <c r="C83">
        <v>1</v>
      </c>
      <c r="D83" t="s">
        <v>137</v>
      </c>
      <c r="E83" t="s">
        <v>11</v>
      </c>
      <c r="F83">
        <v>67</v>
      </c>
      <c r="G83">
        <v>1</v>
      </c>
      <c r="H83">
        <v>0</v>
      </c>
      <c r="I83" t="s">
        <v>138</v>
      </c>
      <c r="J83">
        <v>221.7792</v>
      </c>
      <c r="K83" t="s">
        <v>139</v>
      </c>
      <c r="L83" t="s">
        <v>15</v>
      </c>
    </row>
    <row r="84" spans="1:12" x14ac:dyDescent="0.35">
      <c r="A84">
        <v>974</v>
      </c>
      <c r="B84">
        <v>0</v>
      </c>
      <c r="C84">
        <v>1</v>
      </c>
      <c r="D84" t="s">
        <v>140</v>
      </c>
      <c r="E84" t="s">
        <v>11</v>
      </c>
      <c r="F84">
        <v>49</v>
      </c>
      <c r="G84">
        <v>0</v>
      </c>
      <c r="H84">
        <v>0</v>
      </c>
      <c r="I84">
        <v>19924</v>
      </c>
      <c r="J84">
        <v>26</v>
      </c>
      <c r="L84" t="s">
        <v>15</v>
      </c>
    </row>
    <row r="85" spans="1:12" x14ac:dyDescent="0.35">
      <c r="A85">
        <v>975</v>
      </c>
      <c r="B85">
        <v>0</v>
      </c>
      <c r="C85">
        <v>3</v>
      </c>
      <c r="D85" t="s">
        <v>141</v>
      </c>
      <c r="E85" t="s">
        <v>11</v>
      </c>
      <c r="G85">
        <v>0</v>
      </c>
      <c r="H85">
        <v>0</v>
      </c>
      <c r="I85">
        <v>349238</v>
      </c>
      <c r="J85">
        <v>7.8958000000000004</v>
      </c>
      <c r="L85" t="s">
        <v>15</v>
      </c>
    </row>
    <row r="86" spans="1:12" x14ac:dyDescent="0.35">
      <c r="A86">
        <v>976</v>
      </c>
      <c r="B86">
        <v>0</v>
      </c>
      <c r="C86">
        <v>2</v>
      </c>
      <c r="D86" t="s">
        <v>142</v>
      </c>
      <c r="E86" t="s">
        <v>11</v>
      </c>
      <c r="G86">
        <v>0</v>
      </c>
      <c r="H86">
        <v>0</v>
      </c>
      <c r="I86">
        <v>240261</v>
      </c>
      <c r="J86">
        <v>10.708299999999999</v>
      </c>
      <c r="L86" t="s">
        <v>12</v>
      </c>
    </row>
    <row r="87" spans="1:12" x14ac:dyDescent="0.35">
      <c r="A87">
        <v>977</v>
      </c>
      <c r="B87">
        <v>0</v>
      </c>
      <c r="C87">
        <v>3</v>
      </c>
      <c r="D87" t="s">
        <v>143</v>
      </c>
      <c r="E87" t="s">
        <v>11</v>
      </c>
      <c r="G87">
        <v>1</v>
      </c>
      <c r="H87">
        <v>0</v>
      </c>
      <c r="I87">
        <v>2660</v>
      </c>
      <c r="J87">
        <v>14.4542</v>
      </c>
      <c r="L87" t="s">
        <v>23</v>
      </c>
    </row>
    <row r="88" spans="1:12" x14ac:dyDescent="0.35">
      <c r="A88">
        <v>978</v>
      </c>
      <c r="B88">
        <v>1</v>
      </c>
      <c r="C88">
        <v>3</v>
      </c>
      <c r="D88" t="s">
        <v>144</v>
      </c>
      <c r="E88" t="s">
        <v>14</v>
      </c>
      <c r="F88">
        <v>27</v>
      </c>
      <c r="G88">
        <v>0</v>
      </c>
      <c r="H88">
        <v>0</v>
      </c>
      <c r="I88">
        <v>330844</v>
      </c>
      <c r="J88">
        <v>7.8792</v>
      </c>
      <c r="L88" t="s">
        <v>12</v>
      </c>
    </row>
    <row r="89" spans="1:12" x14ac:dyDescent="0.35">
      <c r="A89">
        <v>979</v>
      </c>
      <c r="B89">
        <v>1</v>
      </c>
      <c r="C89">
        <v>3</v>
      </c>
      <c r="D89" t="s">
        <v>145</v>
      </c>
      <c r="E89" t="s">
        <v>14</v>
      </c>
      <c r="F89">
        <v>18</v>
      </c>
      <c r="G89">
        <v>0</v>
      </c>
      <c r="H89">
        <v>0</v>
      </c>
      <c r="I89" t="s">
        <v>146</v>
      </c>
      <c r="J89">
        <v>8.0500000000000007</v>
      </c>
      <c r="L89" t="s">
        <v>15</v>
      </c>
    </row>
    <row r="90" spans="1:12" x14ac:dyDescent="0.35">
      <c r="A90">
        <v>980</v>
      </c>
      <c r="B90">
        <v>1</v>
      </c>
      <c r="C90">
        <v>3</v>
      </c>
      <c r="D90" t="s">
        <v>147</v>
      </c>
      <c r="E90" t="s">
        <v>14</v>
      </c>
      <c r="G90">
        <v>0</v>
      </c>
      <c r="H90">
        <v>0</v>
      </c>
      <c r="I90">
        <v>364856</v>
      </c>
      <c r="J90">
        <v>7.75</v>
      </c>
      <c r="L90" t="s">
        <v>12</v>
      </c>
    </row>
    <row r="91" spans="1:12" x14ac:dyDescent="0.35">
      <c r="A91">
        <v>981</v>
      </c>
      <c r="B91">
        <v>0</v>
      </c>
      <c r="C91">
        <v>2</v>
      </c>
      <c r="D91" t="s">
        <v>148</v>
      </c>
      <c r="E91" t="s">
        <v>11</v>
      </c>
      <c r="F91">
        <v>2</v>
      </c>
      <c r="G91">
        <v>1</v>
      </c>
      <c r="H91">
        <v>1</v>
      </c>
      <c r="I91">
        <v>29103</v>
      </c>
      <c r="J91">
        <v>23</v>
      </c>
      <c r="L91" t="s">
        <v>15</v>
      </c>
    </row>
    <row r="92" spans="1:12" x14ac:dyDescent="0.35">
      <c r="A92">
        <v>982</v>
      </c>
      <c r="B92">
        <v>1</v>
      </c>
      <c r="C92">
        <v>3</v>
      </c>
      <c r="D92" t="s">
        <v>149</v>
      </c>
      <c r="E92" t="s">
        <v>14</v>
      </c>
      <c r="F92">
        <v>22</v>
      </c>
      <c r="G92">
        <v>1</v>
      </c>
      <c r="H92">
        <v>0</v>
      </c>
      <c r="I92">
        <v>347072</v>
      </c>
      <c r="J92">
        <v>13.9</v>
      </c>
      <c r="L92" t="s">
        <v>15</v>
      </c>
    </row>
    <row r="93" spans="1:12" x14ac:dyDescent="0.35">
      <c r="A93">
        <v>983</v>
      </c>
      <c r="B93">
        <v>0</v>
      </c>
      <c r="C93">
        <v>3</v>
      </c>
      <c r="D93" t="s">
        <v>150</v>
      </c>
      <c r="E93" t="s">
        <v>11</v>
      </c>
      <c r="G93">
        <v>0</v>
      </c>
      <c r="H93">
        <v>0</v>
      </c>
      <c r="I93">
        <v>345498</v>
      </c>
      <c r="J93">
        <v>7.7750000000000004</v>
      </c>
      <c r="L93" t="s">
        <v>15</v>
      </c>
    </row>
    <row r="94" spans="1:12" x14ac:dyDescent="0.35">
      <c r="A94">
        <v>984</v>
      </c>
      <c r="B94">
        <v>1</v>
      </c>
      <c r="C94">
        <v>1</v>
      </c>
      <c r="D94" t="s">
        <v>151</v>
      </c>
      <c r="E94" t="s">
        <v>14</v>
      </c>
      <c r="F94">
        <v>27</v>
      </c>
      <c r="G94">
        <v>1</v>
      </c>
      <c r="H94">
        <v>2</v>
      </c>
      <c r="I94" t="s">
        <v>152</v>
      </c>
      <c r="J94">
        <v>52</v>
      </c>
      <c r="K94" t="s">
        <v>153</v>
      </c>
      <c r="L94" t="s">
        <v>15</v>
      </c>
    </row>
    <row r="95" spans="1:12" x14ac:dyDescent="0.35">
      <c r="A95">
        <v>985</v>
      </c>
      <c r="B95">
        <v>0</v>
      </c>
      <c r="C95">
        <v>3</v>
      </c>
      <c r="D95" t="s">
        <v>154</v>
      </c>
      <c r="E95" t="s">
        <v>11</v>
      </c>
      <c r="G95">
        <v>0</v>
      </c>
      <c r="H95">
        <v>0</v>
      </c>
      <c r="I95">
        <v>376563</v>
      </c>
      <c r="J95">
        <v>8.0500000000000007</v>
      </c>
      <c r="L95" t="s">
        <v>15</v>
      </c>
    </row>
    <row r="96" spans="1:12" x14ac:dyDescent="0.35">
      <c r="A96">
        <v>986</v>
      </c>
      <c r="B96">
        <v>0</v>
      </c>
      <c r="C96">
        <v>1</v>
      </c>
      <c r="D96" t="s">
        <v>155</v>
      </c>
      <c r="E96" t="s">
        <v>11</v>
      </c>
      <c r="F96">
        <v>25</v>
      </c>
      <c r="G96">
        <v>0</v>
      </c>
      <c r="H96">
        <v>0</v>
      </c>
      <c r="I96">
        <v>13905</v>
      </c>
      <c r="J96">
        <v>26</v>
      </c>
      <c r="L96" t="s">
        <v>23</v>
      </c>
    </row>
    <row r="97" spans="1:12" x14ac:dyDescent="0.35">
      <c r="A97">
        <v>987</v>
      </c>
      <c r="B97">
        <v>0</v>
      </c>
      <c r="C97">
        <v>3</v>
      </c>
      <c r="D97" t="s">
        <v>156</v>
      </c>
      <c r="E97" t="s">
        <v>11</v>
      </c>
      <c r="F97">
        <v>25</v>
      </c>
      <c r="G97">
        <v>0</v>
      </c>
      <c r="H97">
        <v>0</v>
      </c>
      <c r="I97">
        <v>350033</v>
      </c>
      <c r="J97">
        <v>7.7957999999999998</v>
      </c>
      <c r="L97" t="s">
        <v>15</v>
      </c>
    </row>
    <row r="98" spans="1:12" x14ac:dyDescent="0.35">
      <c r="A98">
        <v>988</v>
      </c>
      <c r="B98">
        <v>1</v>
      </c>
      <c r="C98">
        <v>1</v>
      </c>
      <c r="D98" t="s">
        <v>157</v>
      </c>
      <c r="E98" t="s">
        <v>14</v>
      </c>
      <c r="F98">
        <v>76</v>
      </c>
      <c r="G98">
        <v>1</v>
      </c>
      <c r="H98">
        <v>0</v>
      </c>
      <c r="I98">
        <v>19877</v>
      </c>
      <c r="J98">
        <v>78.849999999999994</v>
      </c>
      <c r="K98" t="s">
        <v>158</v>
      </c>
      <c r="L98" t="s">
        <v>15</v>
      </c>
    </row>
    <row r="99" spans="1:12" x14ac:dyDescent="0.35">
      <c r="A99">
        <v>989</v>
      </c>
      <c r="B99">
        <v>0</v>
      </c>
      <c r="C99">
        <v>3</v>
      </c>
      <c r="D99" t="s">
        <v>159</v>
      </c>
      <c r="E99" t="s">
        <v>11</v>
      </c>
      <c r="F99">
        <v>29</v>
      </c>
      <c r="G99">
        <v>0</v>
      </c>
      <c r="H99">
        <v>0</v>
      </c>
      <c r="I99" t="s">
        <v>160</v>
      </c>
      <c r="J99">
        <v>7.9249999999999998</v>
      </c>
      <c r="L99" t="s">
        <v>15</v>
      </c>
    </row>
    <row r="100" spans="1:12" x14ac:dyDescent="0.35">
      <c r="A100">
        <v>990</v>
      </c>
      <c r="B100">
        <v>1</v>
      </c>
      <c r="C100">
        <v>3</v>
      </c>
      <c r="D100" t="s">
        <v>161</v>
      </c>
      <c r="E100" t="s">
        <v>14</v>
      </c>
      <c r="F100">
        <v>20</v>
      </c>
      <c r="G100">
        <v>0</v>
      </c>
      <c r="H100">
        <v>0</v>
      </c>
      <c r="I100">
        <v>347471</v>
      </c>
      <c r="J100">
        <v>7.8541999999999996</v>
      </c>
      <c r="L100" t="s">
        <v>15</v>
      </c>
    </row>
    <row r="101" spans="1:12" x14ac:dyDescent="0.35">
      <c r="A101">
        <v>991</v>
      </c>
      <c r="B101">
        <v>0</v>
      </c>
      <c r="C101">
        <v>3</v>
      </c>
      <c r="D101" t="s">
        <v>162</v>
      </c>
      <c r="E101" t="s">
        <v>11</v>
      </c>
      <c r="F101">
        <v>33</v>
      </c>
      <c r="G101">
        <v>0</v>
      </c>
      <c r="H101">
        <v>0</v>
      </c>
      <c r="I101" t="s">
        <v>163</v>
      </c>
      <c r="J101">
        <v>8.0500000000000007</v>
      </c>
      <c r="L101" t="s">
        <v>15</v>
      </c>
    </row>
    <row r="102" spans="1:12" x14ac:dyDescent="0.35">
      <c r="A102">
        <v>992</v>
      </c>
      <c r="B102">
        <v>1</v>
      </c>
      <c r="C102">
        <v>1</v>
      </c>
      <c r="D102" t="s">
        <v>164</v>
      </c>
      <c r="E102" t="s">
        <v>14</v>
      </c>
      <c r="F102">
        <v>43</v>
      </c>
      <c r="G102">
        <v>1</v>
      </c>
      <c r="H102">
        <v>0</v>
      </c>
      <c r="I102">
        <v>11778</v>
      </c>
      <c r="J102">
        <v>55.441699999999997</v>
      </c>
      <c r="K102" t="s">
        <v>165</v>
      </c>
      <c r="L102" t="s">
        <v>23</v>
      </c>
    </row>
    <row r="103" spans="1:12" x14ac:dyDescent="0.35">
      <c r="A103">
        <v>993</v>
      </c>
      <c r="B103">
        <v>0</v>
      </c>
      <c r="C103">
        <v>2</v>
      </c>
      <c r="D103" t="s">
        <v>166</v>
      </c>
      <c r="E103" t="s">
        <v>11</v>
      </c>
      <c r="F103">
        <v>27</v>
      </c>
      <c r="G103">
        <v>1</v>
      </c>
      <c r="H103">
        <v>0</v>
      </c>
      <c r="I103">
        <v>228414</v>
      </c>
      <c r="J103">
        <v>26</v>
      </c>
      <c r="L103" t="s">
        <v>15</v>
      </c>
    </row>
    <row r="104" spans="1:12" x14ac:dyDescent="0.35">
      <c r="A104">
        <v>994</v>
      </c>
      <c r="B104">
        <v>0</v>
      </c>
      <c r="C104">
        <v>3</v>
      </c>
      <c r="D104" t="s">
        <v>167</v>
      </c>
      <c r="E104" t="s">
        <v>11</v>
      </c>
      <c r="G104">
        <v>0</v>
      </c>
      <c r="H104">
        <v>0</v>
      </c>
      <c r="I104">
        <v>365235</v>
      </c>
      <c r="J104">
        <v>7.75</v>
      </c>
      <c r="L104" t="s">
        <v>12</v>
      </c>
    </row>
    <row r="105" spans="1:12" x14ac:dyDescent="0.35">
      <c r="A105">
        <v>995</v>
      </c>
      <c r="B105">
        <v>0</v>
      </c>
      <c r="C105">
        <v>3</v>
      </c>
      <c r="D105" t="s">
        <v>168</v>
      </c>
      <c r="E105" t="s">
        <v>11</v>
      </c>
      <c r="F105">
        <v>26</v>
      </c>
      <c r="G105">
        <v>0</v>
      </c>
      <c r="H105">
        <v>0</v>
      </c>
      <c r="I105">
        <v>347070</v>
      </c>
      <c r="J105">
        <v>7.7750000000000004</v>
      </c>
      <c r="L105" t="s">
        <v>15</v>
      </c>
    </row>
    <row r="106" spans="1:12" x14ac:dyDescent="0.35">
      <c r="A106">
        <v>996</v>
      </c>
      <c r="B106">
        <v>1</v>
      </c>
      <c r="C106">
        <v>3</v>
      </c>
      <c r="D106" t="s">
        <v>169</v>
      </c>
      <c r="E106" t="s">
        <v>14</v>
      </c>
      <c r="F106">
        <v>16</v>
      </c>
      <c r="G106">
        <v>1</v>
      </c>
      <c r="H106">
        <v>1</v>
      </c>
      <c r="I106">
        <v>2625</v>
      </c>
      <c r="J106">
        <v>8.5167000000000002</v>
      </c>
      <c r="L106" t="s">
        <v>23</v>
      </c>
    </row>
    <row r="107" spans="1:12" x14ac:dyDescent="0.35">
      <c r="A107">
        <v>997</v>
      </c>
      <c r="B107">
        <v>0</v>
      </c>
      <c r="C107">
        <v>3</v>
      </c>
      <c r="D107" t="s">
        <v>170</v>
      </c>
      <c r="E107" t="s">
        <v>11</v>
      </c>
      <c r="F107">
        <v>28</v>
      </c>
      <c r="G107">
        <v>0</v>
      </c>
      <c r="H107">
        <v>0</v>
      </c>
      <c r="I107" t="s">
        <v>171</v>
      </c>
      <c r="J107">
        <v>22.524999999999999</v>
      </c>
      <c r="L107" t="s">
        <v>15</v>
      </c>
    </row>
    <row r="108" spans="1:12" x14ac:dyDescent="0.35">
      <c r="A108">
        <v>998</v>
      </c>
      <c r="B108">
        <v>0</v>
      </c>
      <c r="C108">
        <v>3</v>
      </c>
      <c r="D108" t="s">
        <v>172</v>
      </c>
      <c r="E108" t="s">
        <v>11</v>
      </c>
      <c r="F108">
        <v>21</v>
      </c>
      <c r="G108">
        <v>0</v>
      </c>
      <c r="H108">
        <v>0</v>
      </c>
      <c r="I108">
        <v>330920</v>
      </c>
      <c r="J108">
        <v>7.8208000000000002</v>
      </c>
      <c r="L108" t="s">
        <v>12</v>
      </c>
    </row>
    <row r="109" spans="1:12" x14ac:dyDescent="0.35">
      <c r="A109">
        <v>999</v>
      </c>
      <c r="B109">
        <v>0</v>
      </c>
      <c r="C109">
        <v>3</v>
      </c>
      <c r="D109" t="s">
        <v>173</v>
      </c>
      <c r="E109" t="s">
        <v>11</v>
      </c>
      <c r="G109">
        <v>0</v>
      </c>
      <c r="H109">
        <v>0</v>
      </c>
      <c r="I109">
        <v>383162</v>
      </c>
      <c r="J109">
        <v>7.75</v>
      </c>
      <c r="L109" t="s">
        <v>12</v>
      </c>
    </row>
    <row r="110" spans="1:12" x14ac:dyDescent="0.35">
      <c r="A110">
        <v>1000</v>
      </c>
      <c r="B110">
        <v>0</v>
      </c>
      <c r="C110">
        <v>3</v>
      </c>
      <c r="D110" t="s">
        <v>174</v>
      </c>
      <c r="E110" t="s">
        <v>11</v>
      </c>
      <c r="G110">
        <v>0</v>
      </c>
      <c r="H110">
        <v>0</v>
      </c>
      <c r="I110">
        <v>3410</v>
      </c>
      <c r="J110">
        <v>8.7125000000000004</v>
      </c>
      <c r="L110" t="s">
        <v>15</v>
      </c>
    </row>
    <row r="111" spans="1:12" x14ac:dyDescent="0.35">
      <c r="A111">
        <v>1001</v>
      </c>
      <c r="B111">
        <v>0</v>
      </c>
      <c r="C111">
        <v>2</v>
      </c>
      <c r="D111" t="s">
        <v>175</v>
      </c>
      <c r="E111" t="s">
        <v>11</v>
      </c>
      <c r="F111">
        <v>18.5</v>
      </c>
      <c r="G111">
        <v>0</v>
      </c>
      <c r="H111">
        <v>0</v>
      </c>
      <c r="I111">
        <v>248734</v>
      </c>
      <c r="J111">
        <v>13</v>
      </c>
      <c r="K111" t="s">
        <v>176</v>
      </c>
      <c r="L111" t="s">
        <v>15</v>
      </c>
    </row>
    <row r="112" spans="1:12" x14ac:dyDescent="0.35">
      <c r="A112">
        <v>1002</v>
      </c>
      <c r="B112">
        <v>0</v>
      </c>
      <c r="C112">
        <v>2</v>
      </c>
      <c r="D112" t="s">
        <v>177</v>
      </c>
      <c r="E112" t="s">
        <v>11</v>
      </c>
      <c r="F112">
        <v>41</v>
      </c>
      <c r="G112">
        <v>0</v>
      </c>
      <c r="H112">
        <v>0</v>
      </c>
      <c r="I112">
        <v>237734</v>
      </c>
      <c r="J112">
        <v>15.0458</v>
      </c>
      <c r="L112" t="s">
        <v>23</v>
      </c>
    </row>
    <row r="113" spans="1:12" x14ac:dyDescent="0.35">
      <c r="A113">
        <v>1003</v>
      </c>
      <c r="B113">
        <v>1</v>
      </c>
      <c r="C113">
        <v>3</v>
      </c>
      <c r="D113" t="s">
        <v>178</v>
      </c>
      <c r="E113" t="s">
        <v>14</v>
      </c>
      <c r="G113">
        <v>0</v>
      </c>
      <c r="H113">
        <v>0</v>
      </c>
      <c r="I113">
        <v>330968</v>
      </c>
      <c r="J113">
        <v>7.7792000000000003</v>
      </c>
      <c r="L113" t="s">
        <v>12</v>
      </c>
    </row>
    <row r="114" spans="1:12" x14ac:dyDescent="0.35">
      <c r="A114">
        <v>1004</v>
      </c>
      <c r="B114">
        <v>1</v>
      </c>
      <c r="C114">
        <v>1</v>
      </c>
      <c r="D114" t="s">
        <v>179</v>
      </c>
      <c r="E114" t="s">
        <v>14</v>
      </c>
      <c r="F114">
        <v>36</v>
      </c>
      <c r="G114">
        <v>0</v>
      </c>
      <c r="H114">
        <v>0</v>
      </c>
      <c r="I114" t="s">
        <v>180</v>
      </c>
      <c r="J114">
        <v>31.679200000000002</v>
      </c>
      <c r="K114" t="s">
        <v>181</v>
      </c>
      <c r="L114" t="s">
        <v>23</v>
      </c>
    </row>
    <row r="115" spans="1:12" x14ac:dyDescent="0.35">
      <c r="A115">
        <v>1005</v>
      </c>
      <c r="B115">
        <v>1</v>
      </c>
      <c r="C115">
        <v>3</v>
      </c>
      <c r="D115" t="s">
        <v>182</v>
      </c>
      <c r="E115" t="s">
        <v>14</v>
      </c>
      <c r="F115">
        <v>18.5</v>
      </c>
      <c r="G115">
        <v>0</v>
      </c>
      <c r="H115">
        <v>0</v>
      </c>
      <c r="I115">
        <v>329944</v>
      </c>
      <c r="J115">
        <v>7.2832999999999997</v>
      </c>
      <c r="L115" t="s">
        <v>12</v>
      </c>
    </row>
    <row r="116" spans="1:12" x14ac:dyDescent="0.35">
      <c r="A116">
        <v>1006</v>
      </c>
      <c r="B116">
        <v>1</v>
      </c>
      <c r="C116">
        <v>1</v>
      </c>
      <c r="D116" t="s">
        <v>183</v>
      </c>
      <c r="E116" t="s">
        <v>14</v>
      </c>
      <c r="F116">
        <v>63</v>
      </c>
      <c r="G116">
        <v>1</v>
      </c>
      <c r="H116">
        <v>0</v>
      </c>
      <c r="I116" t="s">
        <v>138</v>
      </c>
      <c r="J116">
        <v>221.7792</v>
      </c>
      <c r="K116" t="s">
        <v>139</v>
      </c>
      <c r="L116" t="s">
        <v>15</v>
      </c>
    </row>
    <row r="117" spans="1:12" x14ac:dyDescent="0.35">
      <c r="A117">
        <v>1007</v>
      </c>
      <c r="B117">
        <v>0</v>
      </c>
      <c r="C117">
        <v>3</v>
      </c>
      <c r="D117" t="s">
        <v>184</v>
      </c>
      <c r="E117" t="s">
        <v>11</v>
      </c>
      <c r="F117">
        <v>18</v>
      </c>
      <c r="G117">
        <v>1</v>
      </c>
      <c r="H117">
        <v>0</v>
      </c>
      <c r="I117">
        <v>2680</v>
      </c>
      <c r="J117">
        <v>14.4542</v>
      </c>
      <c r="L117" t="s">
        <v>23</v>
      </c>
    </row>
    <row r="118" spans="1:12" x14ac:dyDescent="0.35">
      <c r="A118">
        <v>1008</v>
      </c>
      <c r="B118">
        <v>0</v>
      </c>
      <c r="C118">
        <v>3</v>
      </c>
      <c r="D118" t="s">
        <v>185</v>
      </c>
      <c r="E118" t="s">
        <v>11</v>
      </c>
      <c r="G118">
        <v>0</v>
      </c>
      <c r="H118">
        <v>0</v>
      </c>
      <c r="I118">
        <v>2681</v>
      </c>
      <c r="J118">
        <v>6.4375</v>
      </c>
      <c r="L118" t="s">
        <v>23</v>
      </c>
    </row>
    <row r="119" spans="1:12" x14ac:dyDescent="0.35">
      <c r="A119">
        <v>1009</v>
      </c>
      <c r="B119">
        <v>1</v>
      </c>
      <c r="C119">
        <v>3</v>
      </c>
      <c r="D119" t="s">
        <v>186</v>
      </c>
      <c r="E119" t="s">
        <v>14</v>
      </c>
      <c r="F119">
        <v>1</v>
      </c>
      <c r="G119">
        <v>1</v>
      </c>
      <c r="H119">
        <v>1</v>
      </c>
      <c r="I119" t="s">
        <v>187</v>
      </c>
      <c r="J119">
        <v>16.7</v>
      </c>
      <c r="K119" t="s">
        <v>188</v>
      </c>
      <c r="L119" t="s">
        <v>15</v>
      </c>
    </row>
    <row r="120" spans="1:12" x14ac:dyDescent="0.35">
      <c r="A120">
        <v>1010</v>
      </c>
      <c r="B120">
        <v>0</v>
      </c>
      <c r="C120">
        <v>1</v>
      </c>
      <c r="D120" t="s">
        <v>189</v>
      </c>
      <c r="E120" t="s">
        <v>11</v>
      </c>
      <c r="F120">
        <v>36</v>
      </c>
      <c r="G120">
        <v>0</v>
      </c>
      <c r="H120">
        <v>0</v>
      </c>
      <c r="I120">
        <v>13050</v>
      </c>
      <c r="J120">
        <v>75.241699999999994</v>
      </c>
      <c r="K120" t="s">
        <v>190</v>
      </c>
      <c r="L120" t="s">
        <v>23</v>
      </c>
    </row>
    <row r="121" spans="1:12" x14ac:dyDescent="0.35">
      <c r="A121">
        <v>1011</v>
      </c>
      <c r="B121">
        <v>1</v>
      </c>
      <c r="C121">
        <v>2</v>
      </c>
      <c r="D121" t="s">
        <v>191</v>
      </c>
      <c r="E121" t="s">
        <v>14</v>
      </c>
      <c r="F121">
        <v>29</v>
      </c>
      <c r="G121">
        <v>1</v>
      </c>
      <c r="H121">
        <v>0</v>
      </c>
      <c r="I121" t="s">
        <v>192</v>
      </c>
      <c r="J121">
        <v>26</v>
      </c>
      <c r="L121" t="s">
        <v>15</v>
      </c>
    </row>
    <row r="122" spans="1:12" x14ac:dyDescent="0.35">
      <c r="A122">
        <v>1012</v>
      </c>
      <c r="B122">
        <v>1</v>
      </c>
      <c r="C122">
        <v>2</v>
      </c>
      <c r="D122" t="s">
        <v>193</v>
      </c>
      <c r="E122" t="s">
        <v>14</v>
      </c>
      <c r="F122">
        <v>12</v>
      </c>
      <c r="G122">
        <v>0</v>
      </c>
      <c r="H122">
        <v>0</v>
      </c>
      <c r="I122" t="s">
        <v>194</v>
      </c>
      <c r="J122">
        <v>15.75</v>
      </c>
      <c r="L122" t="s">
        <v>15</v>
      </c>
    </row>
    <row r="123" spans="1:12" x14ac:dyDescent="0.35">
      <c r="A123">
        <v>1013</v>
      </c>
      <c r="B123">
        <v>0</v>
      </c>
      <c r="C123">
        <v>3</v>
      </c>
      <c r="D123" t="s">
        <v>195</v>
      </c>
      <c r="E123" t="s">
        <v>11</v>
      </c>
      <c r="G123">
        <v>1</v>
      </c>
      <c r="H123">
        <v>0</v>
      </c>
      <c r="I123">
        <v>367227</v>
      </c>
      <c r="J123">
        <v>7.75</v>
      </c>
      <c r="L123" t="s">
        <v>12</v>
      </c>
    </row>
    <row r="124" spans="1:12" x14ac:dyDescent="0.35">
      <c r="A124">
        <v>1014</v>
      </c>
      <c r="B124">
        <v>1</v>
      </c>
      <c r="C124">
        <v>1</v>
      </c>
      <c r="D124" t="s">
        <v>196</v>
      </c>
      <c r="E124" t="s">
        <v>14</v>
      </c>
      <c r="F124">
        <v>35</v>
      </c>
      <c r="G124">
        <v>1</v>
      </c>
      <c r="H124">
        <v>0</v>
      </c>
      <c r="I124">
        <v>13236</v>
      </c>
      <c r="J124">
        <v>57.75</v>
      </c>
      <c r="K124" t="s">
        <v>197</v>
      </c>
      <c r="L124" t="s">
        <v>23</v>
      </c>
    </row>
    <row r="125" spans="1:12" x14ac:dyDescent="0.35">
      <c r="A125">
        <v>1015</v>
      </c>
      <c r="B125">
        <v>0</v>
      </c>
      <c r="C125">
        <v>3</v>
      </c>
      <c r="D125" t="s">
        <v>198</v>
      </c>
      <c r="E125" t="s">
        <v>11</v>
      </c>
      <c r="F125">
        <v>28</v>
      </c>
      <c r="G125">
        <v>0</v>
      </c>
      <c r="H125">
        <v>0</v>
      </c>
      <c r="I125">
        <v>392095</v>
      </c>
      <c r="J125">
        <v>7.25</v>
      </c>
      <c r="L125" t="s">
        <v>15</v>
      </c>
    </row>
    <row r="126" spans="1:12" x14ac:dyDescent="0.35">
      <c r="A126">
        <v>1016</v>
      </c>
      <c r="B126">
        <v>0</v>
      </c>
      <c r="C126">
        <v>3</v>
      </c>
      <c r="D126" t="s">
        <v>199</v>
      </c>
      <c r="E126" t="s">
        <v>11</v>
      </c>
      <c r="G126">
        <v>0</v>
      </c>
      <c r="H126">
        <v>0</v>
      </c>
      <c r="I126">
        <v>368783</v>
      </c>
      <c r="J126">
        <v>7.75</v>
      </c>
      <c r="L126" t="s">
        <v>12</v>
      </c>
    </row>
    <row r="127" spans="1:12" x14ac:dyDescent="0.35">
      <c r="A127">
        <v>1017</v>
      </c>
      <c r="B127">
        <v>1</v>
      </c>
      <c r="C127">
        <v>3</v>
      </c>
      <c r="D127" t="s">
        <v>200</v>
      </c>
      <c r="E127" t="s">
        <v>14</v>
      </c>
      <c r="F127">
        <v>17</v>
      </c>
      <c r="G127">
        <v>0</v>
      </c>
      <c r="H127">
        <v>1</v>
      </c>
      <c r="I127">
        <v>371362</v>
      </c>
      <c r="J127">
        <v>16.100000000000001</v>
      </c>
      <c r="L127" t="s">
        <v>15</v>
      </c>
    </row>
    <row r="128" spans="1:12" x14ac:dyDescent="0.35">
      <c r="A128">
        <v>1018</v>
      </c>
      <c r="B128">
        <v>0</v>
      </c>
      <c r="C128">
        <v>3</v>
      </c>
      <c r="D128" t="s">
        <v>201</v>
      </c>
      <c r="E128" t="s">
        <v>11</v>
      </c>
      <c r="F128">
        <v>22</v>
      </c>
      <c r="G128">
        <v>0</v>
      </c>
      <c r="H128">
        <v>0</v>
      </c>
      <c r="I128">
        <v>350045</v>
      </c>
      <c r="J128">
        <v>7.7957999999999998</v>
      </c>
      <c r="L128" t="s">
        <v>15</v>
      </c>
    </row>
    <row r="129" spans="1:12" x14ac:dyDescent="0.35">
      <c r="A129">
        <v>1019</v>
      </c>
      <c r="B129">
        <v>1</v>
      </c>
      <c r="C129">
        <v>3</v>
      </c>
      <c r="D129" t="s">
        <v>202</v>
      </c>
      <c r="E129" t="s">
        <v>14</v>
      </c>
      <c r="G129">
        <v>2</v>
      </c>
      <c r="H129">
        <v>0</v>
      </c>
      <c r="I129">
        <v>367226</v>
      </c>
      <c r="J129">
        <v>23.25</v>
      </c>
      <c r="L129" t="s">
        <v>12</v>
      </c>
    </row>
    <row r="130" spans="1:12" x14ac:dyDescent="0.35">
      <c r="A130">
        <v>1020</v>
      </c>
      <c r="B130">
        <v>0</v>
      </c>
      <c r="C130">
        <v>2</v>
      </c>
      <c r="D130" t="s">
        <v>203</v>
      </c>
      <c r="E130" t="s">
        <v>11</v>
      </c>
      <c r="F130">
        <v>42</v>
      </c>
      <c r="G130">
        <v>0</v>
      </c>
      <c r="H130">
        <v>0</v>
      </c>
      <c r="I130">
        <v>211535</v>
      </c>
      <c r="J130">
        <v>13</v>
      </c>
      <c r="L130" t="s">
        <v>15</v>
      </c>
    </row>
    <row r="131" spans="1:12" x14ac:dyDescent="0.35">
      <c r="A131">
        <v>1021</v>
      </c>
      <c r="B131">
        <v>0</v>
      </c>
      <c r="C131">
        <v>3</v>
      </c>
      <c r="D131" t="s">
        <v>204</v>
      </c>
      <c r="E131" t="s">
        <v>11</v>
      </c>
      <c r="F131">
        <v>24</v>
      </c>
      <c r="G131">
        <v>0</v>
      </c>
      <c r="H131">
        <v>0</v>
      </c>
      <c r="I131">
        <v>342441</v>
      </c>
      <c r="J131">
        <v>8.0500000000000007</v>
      </c>
      <c r="L131" t="s">
        <v>15</v>
      </c>
    </row>
    <row r="132" spans="1:12" x14ac:dyDescent="0.35">
      <c r="A132">
        <v>1022</v>
      </c>
      <c r="B132">
        <v>0</v>
      </c>
      <c r="C132">
        <v>3</v>
      </c>
      <c r="D132" t="s">
        <v>205</v>
      </c>
      <c r="E132" t="s">
        <v>11</v>
      </c>
      <c r="F132">
        <v>32</v>
      </c>
      <c r="G132">
        <v>0</v>
      </c>
      <c r="H132">
        <v>0</v>
      </c>
      <c r="I132" t="s">
        <v>206</v>
      </c>
      <c r="J132">
        <v>8.0500000000000007</v>
      </c>
      <c r="L132" t="s">
        <v>15</v>
      </c>
    </row>
    <row r="133" spans="1:12" x14ac:dyDescent="0.35">
      <c r="A133">
        <v>1023</v>
      </c>
      <c r="B133">
        <v>0</v>
      </c>
      <c r="C133">
        <v>1</v>
      </c>
      <c r="D133" t="s">
        <v>207</v>
      </c>
      <c r="E133" t="s">
        <v>11</v>
      </c>
      <c r="F133">
        <v>53</v>
      </c>
      <c r="G133">
        <v>0</v>
      </c>
      <c r="H133">
        <v>0</v>
      </c>
      <c r="I133">
        <v>113780</v>
      </c>
      <c r="J133">
        <v>28.5</v>
      </c>
      <c r="K133" t="s">
        <v>208</v>
      </c>
      <c r="L133" t="s">
        <v>23</v>
      </c>
    </row>
    <row r="134" spans="1:12" x14ac:dyDescent="0.35">
      <c r="A134">
        <v>1024</v>
      </c>
      <c r="B134">
        <v>1</v>
      </c>
      <c r="C134">
        <v>3</v>
      </c>
      <c r="D134" t="s">
        <v>209</v>
      </c>
      <c r="E134" t="s">
        <v>14</v>
      </c>
      <c r="G134">
        <v>0</v>
      </c>
      <c r="H134">
        <v>4</v>
      </c>
      <c r="I134">
        <v>4133</v>
      </c>
      <c r="J134">
        <v>25.466699999999999</v>
      </c>
      <c r="L134" t="s">
        <v>15</v>
      </c>
    </row>
    <row r="135" spans="1:12" x14ac:dyDescent="0.35">
      <c r="A135">
        <v>1025</v>
      </c>
      <c r="B135">
        <v>0</v>
      </c>
      <c r="C135">
        <v>3</v>
      </c>
      <c r="D135" t="s">
        <v>210</v>
      </c>
      <c r="E135" t="s">
        <v>11</v>
      </c>
      <c r="G135">
        <v>1</v>
      </c>
      <c r="H135">
        <v>0</v>
      </c>
      <c r="I135">
        <v>2621</v>
      </c>
      <c r="J135">
        <v>6.4375</v>
      </c>
      <c r="L135" t="s">
        <v>23</v>
      </c>
    </row>
    <row r="136" spans="1:12" x14ac:dyDescent="0.35">
      <c r="A136">
        <v>1026</v>
      </c>
      <c r="B136">
        <v>0</v>
      </c>
      <c r="C136">
        <v>3</v>
      </c>
      <c r="D136" t="s">
        <v>211</v>
      </c>
      <c r="E136" t="s">
        <v>11</v>
      </c>
      <c r="F136">
        <v>43</v>
      </c>
      <c r="G136">
        <v>0</v>
      </c>
      <c r="H136">
        <v>0</v>
      </c>
      <c r="I136">
        <v>349226</v>
      </c>
      <c r="J136">
        <v>7.8958000000000004</v>
      </c>
      <c r="L136" t="s">
        <v>15</v>
      </c>
    </row>
    <row r="137" spans="1:12" x14ac:dyDescent="0.35">
      <c r="A137">
        <v>1027</v>
      </c>
      <c r="B137">
        <v>0</v>
      </c>
      <c r="C137">
        <v>3</v>
      </c>
      <c r="D137" t="s">
        <v>212</v>
      </c>
      <c r="E137" t="s">
        <v>11</v>
      </c>
      <c r="F137">
        <v>24</v>
      </c>
      <c r="G137">
        <v>0</v>
      </c>
      <c r="H137">
        <v>0</v>
      </c>
      <c r="I137">
        <v>350409</v>
      </c>
      <c r="J137">
        <v>7.8541999999999996</v>
      </c>
      <c r="L137" t="s">
        <v>15</v>
      </c>
    </row>
    <row r="138" spans="1:12" x14ac:dyDescent="0.35">
      <c r="A138">
        <v>1028</v>
      </c>
      <c r="B138">
        <v>0</v>
      </c>
      <c r="C138">
        <v>3</v>
      </c>
      <c r="D138" t="s">
        <v>213</v>
      </c>
      <c r="E138" t="s">
        <v>11</v>
      </c>
      <c r="F138">
        <v>26.5</v>
      </c>
      <c r="G138">
        <v>0</v>
      </c>
      <c r="H138">
        <v>0</v>
      </c>
      <c r="I138">
        <v>2656</v>
      </c>
      <c r="J138">
        <v>7.2249999999999996</v>
      </c>
      <c r="L138" t="s">
        <v>23</v>
      </c>
    </row>
    <row r="139" spans="1:12" x14ac:dyDescent="0.35">
      <c r="A139">
        <v>1029</v>
      </c>
      <c r="B139">
        <v>0</v>
      </c>
      <c r="C139">
        <v>2</v>
      </c>
      <c r="D139" t="s">
        <v>214</v>
      </c>
      <c r="E139" t="s">
        <v>11</v>
      </c>
      <c r="F139">
        <v>26</v>
      </c>
      <c r="G139">
        <v>0</v>
      </c>
      <c r="H139">
        <v>0</v>
      </c>
      <c r="I139">
        <v>248659</v>
      </c>
      <c r="J139">
        <v>13</v>
      </c>
      <c r="L139" t="s">
        <v>15</v>
      </c>
    </row>
    <row r="140" spans="1:12" x14ac:dyDescent="0.35">
      <c r="A140">
        <v>1030</v>
      </c>
      <c r="B140">
        <v>1</v>
      </c>
      <c r="C140">
        <v>3</v>
      </c>
      <c r="D140" t="s">
        <v>215</v>
      </c>
      <c r="E140" t="s">
        <v>14</v>
      </c>
      <c r="F140">
        <v>23</v>
      </c>
      <c r="G140">
        <v>0</v>
      </c>
      <c r="H140">
        <v>0</v>
      </c>
      <c r="I140" t="s">
        <v>216</v>
      </c>
      <c r="J140">
        <v>8.0500000000000007</v>
      </c>
      <c r="L140" t="s">
        <v>15</v>
      </c>
    </row>
    <row r="141" spans="1:12" x14ac:dyDescent="0.35">
      <c r="A141">
        <v>1031</v>
      </c>
      <c r="B141">
        <v>0</v>
      </c>
      <c r="C141">
        <v>3</v>
      </c>
      <c r="D141" t="s">
        <v>217</v>
      </c>
      <c r="E141" t="s">
        <v>11</v>
      </c>
      <c r="F141">
        <v>40</v>
      </c>
      <c r="G141">
        <v>1</v>
      </c>
      <c r="H141">
        <v>6</v>
      </c>
      <c r="I141" t="s">
        <v>218</v>
      </c>
      <c r="J141">
        <v>46.9</v>
      </c>
      <c r="L141" t="s">
        <v>15</v>
      </c>
    </row>
    <row r="142" spans="1:12" x14ac:dyDescent="0.35">
      <c r="A142">
        <v>1032</v>
      </c>
      <c r="B142">
        <v>1</v>
      </c>
      <c r="C142">
        <v>3</v>
      </c>
      <c r="D142" t="s">
        <v>219</v>
      </c>
      <c r="E142" t="s">
        <v>14</v>
      </c>
      <c r="F142">
        <v>10</v>
      </c>
      <c r="G142">
        <v>5</v>
      </c>
      <c r="H142">
        <v>2</v>
      </c>
      <c r="I142" t="s">
        <v>218</v>
      </c>
      <c r="J142">
        <v>46.9</v>
      </c>
      <c r="L142" t="s">
        <v>15</v>
      </c>
    </row>
    <row r="143" spans="1:12" x14ac:dyDescent="0.35">
      <c r="A143">
        <v>1033</v>
      </c>
      <c r="B143">
        <v>1</v>
      </c>
      <c r="C143">
        <v>1</v>
      </c>
      <c r="D143" t="s">
        <v>220</v>
      </c>
      <c r="E143" t="s">
        <v>14</v>
      </c>
      <c r="F143">
        <v>33</v>
      </c>
      <c r="G143">
        <v>0</v>
      </c>
      <c r="H143">
        <v>0</v>
      </c>
      <c r="I143">
        <v>113781</v>
      </c>
      <c r="J143">
        <v>151.55000000000001</v>
      </c>
      <c r="L143" t="s">
        <v>15</v>
      </c>
    </row>
    <row r="144" spans="1:12" x14ac:dyDescent="0.35">
      <c r="A144">
        <v>1034</v>
      </c>
      <c r="B144">
        <v>0</v>
      </c>
      <c r="C144">
        <v>1</v>
      </c>
      <c r="D144" t="s">
        <v>221</v>
      </c>
      <c r="E144" t="s">
        <v>11</v>
      </c>
      <c r="F144">
        <v>61</v>
      </c>
      <c r="G144">
        <v>1</v>
      </c>
      <c r="H144">
        <v>3</v>
      </c>
      <c r="I144" t="s">
        <v>50</v>
      </c>
      <c r="J144">
        <v>262.375</v>
      </c>
      <c r="K144" t="s">
        <v>51</v>
      </c>
      <c r="L144" t="s">
        <v>23</v>
      </c>
    </row>
    <row r="145" spans="1:12" x14ac:dyDescent="0.35">
      <c r="A145">
        <v>1035</v>
      </c>
      <c r="B145">
        <v>0</v>
      </c>
      <c r="C145">
        <v>2</v>
      </c>
      <c r="D145" t="s">
        <v>222</v>
      </c>
      <c r="E145" t="s">
        <v>11</v>
      </c>
      <c r="F145">
        <v>28</v>
      </c>
      <c r="G145">
        <v>0</v>
      </c>
      <c r="H145">
        <v>0</v>
      </c>
      <c r="I145">
        <v>244358</v>
      </c>
      <c r="J145">
        <v>26</v>
      </c>
      <c r="L145" t="s">
        <v>15</v>
      </c>
    </row>
    <row r="146" spans="1:12" x14ac:dyDescent="0.35">
      <c r="A146">
        <v>1036</v>
      </c>
      <c r="B146">
        <v>0</v>
      </c>
      <c r="C146">
        <v>1</v>
      </c>
      <c r="D146" t="s">
        <v>223</v>
      </c>
      <c r="E146" t="s">
        <v>11</v>
      </c>
      <c r="F146">
        <v>42</v>
      </c>
      <c r="G146">
        <v>0</v>
      </c>
      <c r="H146">
        <v>0</v>
      </c>
      <c r="I146">
        <v>17475</v>
      </c>
      <c r="J146">
        <v>26.55</v>
      </c>
      <c r="L146" t="s">
        <v>15</v>
      </c>
    </row>
    <row r="147" spans="1:12" x14ac:dyDescent="0.35">
      <c r="A147">
        <v>1037</v>
      </c>
      <c r="B147">
        <v>0</v>
      </c>
      <c r="C147">
        <v>3</v>
      </c>
      <c r="D147" t="s">
        <v>224</v>
      </c>
      <c r="E147" t="s">
        <v>11</v>
      </c>
      <c r="F147">
        <v>31</v>
      </c>
      <c r="G147">
        <v>3</v>
      </c>
      <c r="H147">
        <v>0</v>
      </c>
      <c r="I147">
        <v>345763</v>
      </c>
      <c r="J147">
        <v>18</v>
      </c>
      <c r="L147" t="s">
        <v>15</v>
      </c>
    </row>
    <row r="148" spans="1:12" x14ac:dyDescent="0.35">
      <c r="A148">
        <v>1038</v>
      </c>
      <c r="B148">
        <v>0</v>
      </c>
      <c r="C148">
        <v>1</v>
      </c>
      <c r="D148" t="s">
        <v>225</v>
      </c>
      <c r="E148" t="s">
        <v>11</v>
      </c>
      <c r="G148">
        <v>0</v>
      </c>
      <c r="H148">
        <v>0</v>
      </c>
      <c r="I148">
        <v>17463</v>
      </c>
      <c r="J148">
        <v>51.862499999999997</v>
      </c>
      <c r="K148" t="s">
        <v>226</v>
      </c>
      <c r="L148" t="s">
        <v>15</v>
      </c>
    </row>
    <row r="149" spans="1:12" x14ac:dyDescent="0.35">
      <c r="A149">
        <v>1039</v>
      </c>
      <c r="B149">
        <v>0</v>
      </c>
      <c r="C149">
        <v>3</v>
      </c>
      <c r="D149" t="s">
        <v>227</v>
      </c>
      <c r="E149" t="s">
        <v>11</v>
      </c>
      <c r="F149">
        <v>22</v>
      </c>
      <c r="G149">
        <v>0</v>
      </c>
      <c r="H149">
        <v>0</v>
      </c>
      <c r="I149" t="s">
        <v>228</v>
      </c>
      <c r="J149">
        <v>8.0500000000000007</v>
      </c>
      <c r="L149" t="s">
        <v>15</v>
      </c>
    </row>
    <row r="150" spans="1:12" x14ac:dyDescent="0.35">
      <c r="A150">
        <v>1040</v>
      </c>
      <c r="B150">
        <v>0</v>
      </c>
      <c r="C150">
        <v>1</v>
      </c>
      <c r="D150" t="s">
        <v>229</v>
      </c>
      <c r="E150" t="s">
        <v>11</v>
      </c>
      <c r="G150">
        <v>0</v>
      </c>
      <c r="H150">
        <v>0</v>
      </c>
      <c r="I150">
        <v>113791</v>
      </c>
      <c r="J150">
        <v>26.55</v>
      </c>
      <c r="L150" t="s">
        <v>15</v>
      </c>
    </row>
    <row r="151" spans="1:12" x14ac:dyDescent="0.35">
      <c r="A151">
        <v>1041</v>
      </c>
      <c r="B151">
        <v>0</v>
      </c>
      <c r="C151">
        <v>2</v>
      </c>
      <c r="D151" t="s">
        <v>230</v>
      </c>
      <c r="E151" t="s">
        <v>11</v>
      </c>
      <c r="F151">
        <v>30</v>
      </c>
      <c r="G151">
        <v>1</v>
      </c>
      <c r="H151">
        <v>1</v>
      </c>
      <c r="I151">
        <v>250651</v>
      </c>
      <c r="J151">
        <v>26</v>
      </c>
      <c r="L151" t="s">
        <v>15</v>
      </c>
    </row>
    <row r="152" spans="1:12" x14ac:dyDescent="0.35">
      <c r="A152">
        <v>1042</v>
      </c>
      <c r="B152">
        <v>1</v>
      </c>
      <c r="C152">
        <v>1</v>
      </c>
      <c r="D152" t="s">
        <v>231</v>
      </c>
      <c r="E152" t="s">
        <v>14</v>
      </c>
      <c r="F152">
        <v>23</v>
      </c>
      <c r="G152">
        <v>0</v>
      </c>
      <c r="H152">
        <v>1</v>
      </c>
      <c r="I152">
        <v>11767</v>
      </c>
      <c r="J152">
        <v>83.158299999999997</v>
      </c>
      <c r="K152" t="s">
        <v>232</v>
      </c>
      <c r="L152" t="s">
        <v>23</v>
      </c>
    </row>
    <row r="153" spans="1:12" x14ac:dyDescent="0.35">
      <c r="A153">
        <v>1043</v>
      </c>
      <c r="B153">
        <v>0</v>
      </c>
      <c r="C153">
        <v>3</v>
      </c>
      <c r="D153" t="s">
        <v>233</v>
      </c>
      <c r="E153" t="s">
        <v>11</v>
      </c>
      <c r="G153">
        <v>0</v>
      </c>
      <c r="H153">
        <v>0</v>
      </c>
      <c r="I153">
        <v>349255</v>
      </c>
      <c r="J153">
        <v>7.8958000000000004</v>
      </c>
      <c r="L153" t="s">
        <v>23</v>
      </c>
    </row>
    <row r="154" spans="1:12" x14ac:dyDescent="0.35">
      <c r="A154">
        <v>1044</v>
      </c>
      <c r="B154">
        <v>0</v>
      </c>
      <c r="C154">
        <v>3</v>
      </c>
      <c r="D154" t="s">
        <v>234</v>
      </c>
      <c r="E154" t="s">
        <v>11</v>
      </c>
      <c r="F154">
        <v>60.5</v>
      </c>
      <c r="G154">
        <v>0</v>
      </c>
      <c r="H154">
        <v>0</v>
      </c>
      <c r="I154">
        <v>3701</v>
      </c>
      <c r="L154" t="s">
        <v>15</v>
      </c>
    </row>
    <row r="155" spans="1:12" x14ac:dyDescent="0.35">
      <c r="A155">
        <v>1045</v>
      </c>
      <c r="B155">
        <v>1</v>
      </c>
      <c r="C155">
        <v>3</v>
      </c>
      <c r="D155" t="s">
        <v>235</v>
      </c>
      <c r="E155" t="s">
        <v>14</v>
      </c>
      <c r="F155">
        <v>36</v>
      </c>
      <c r="G155">
        <v>0</v>
      </c>
      <c r="H155">
        <v>2</v>
      </c>
      <c r="I155">
        <v>350405</v>
      </c>
      <c r="J155">
        <v>12.183299999999999</v>
      </c>
      <c r="L155" t="s">
        <v>15</v>
      </c>
    </row>
    <row r="156" spans="1:12" x14ac:dyDescent="0.35">
      <c r="A156">
        <v>1046</v>
      </c>
      <c r="B156">
        <v>0</v>
      </c>
      <c r="C156">
        <v>3</v>
      </c>
      <c r="D156" t="s">
        <v>236</v>
      </c>
      <c r="E156" t="s">
        <v>11</v>
      </c>
      <c r="F156">
        <v>13</v>
      </c>
      <c r="G156">
        <v>4</v>
      </c>
      <c r="H156">
        <v>2</v>
      </c>
      <c r="I156">
        <v>347077</v>
      </c>
      <c r="J156">
        <v>31.387499999999999</v>
      </c>
      <c r="L156" t="s">
        <v>15</v>
      </c>
    </row>
    <row r="157" spans="1:12" x14ac:dyDescent="0.35">
      <c r="A157">
        <v>1047</v>
      </c>
      <c r="B157">
        <v>0</v>
      </c>
      <c r="C157">
        <v>3</v>
      </c>
      <c r="D157" t="s">
        <v>237</v>
      </c>
      <c r="E157" t="s">
        <v>11</v>
      </c>
      <c r="F157">
        <v>24</v>
      </c>
      <c r="G157">
        <v>0</v>
      </c>
      <c r="H157">
        <v>0</v>
      </c>
      <c r="I157" t="s">
        <v>238</v>
      </c>
      <c r="J157">
        <v>7.55</v>
      </c>
      <c r="L157" t="s">
        <v>15</v>
      </c>
    </row>
    <row r="158" spans="1:12" x14ac:dyDescent="0.35">
      <c r="A158">
        <v>1048</v>
      </c>
      <c r="B158">
        <v>1</v>
      </c>
      <c r="C158">
        <v>1</v>
      </c>
      <c r="D158" t="s">
        <v>239</v>
      </c>
      <c r="E158" t="s">
        <v>14</v>
      </c>
      <c r="F158">
        <v>29</v>
      </c>
      <c r="G158">
        <v>0</v>
      </c>
      <c r="H158">
        <v>0</v>
      </c>
      <c r="I158" t="s">
        <v>138</v>
      </c>
      <c r="J158">
        <v>221.7792</v>
      </c>
      <c r="K158" t="s">
        <v>240</v>
      </c>
      <c r="L158" t="s">
        <v>15</v>
      </c>
    </row>
    <row r="159" spans="1:12" x14ac:dyDescent="0.35">
      <c r="A159">
        <v>1049</v>
      </c>
      <c r="B159">
        <v>1</v>
      </c>
      <c r="C159">
        <v>3</v>
      </c>
      <c r="D159" t="s">
        <v>241</v>
      </c>
      <c r="E159" t="s">
        <v>14</v>
      </c>
      <c r="F159">
        <v>23</v>
      </c>
      <c r="G159">
        <v>0</v>
      </c>
      <c r="H159">
        <v>0</v>
      </c>
      <c r="I159">
        <v>347469</v>
      </c>
      <c r="J159">
        <v>7.8541999999999996</v>
      </c>
      <c r="L159" t="s">
        <v>15</v>
      </c>
    </row>
    <row r="160" spans="1:12" x14ac:dyDescent="0.35">
      <c r="A160">
        <v>1050</v>
      </c>
      <c r="B160">
        <v>0</v>
      </c>
      <c r="C160">
        <v>1</v>
      </c>
      <c r="D160" t="s">
        <v>242</v>
      </c>
      <c r="E160" t="s">
        <v>11</v>
      </c>
      <c r="F160">
        <v>42</v>
      </c>
      <c r="G160">
        <v>0</v>
      </c>
      <c r="H160">
        <v>0</v>
      </c>
      <c r="I160">
        <v>110489</v>
      </c>
      <c r="J160">
        <v>26.55</v>
      </c>
      <c r="K160" t="s">
        <v>243</v>
      </c>
      <c r="L160" t="s">
        <v>15</v>
      </c>
    </row>
    <row r="161" spans="1:12" x14ac:dyDescent="0.35">
      <c r="A161">
        <v>1051</v>
      </c>
      <c r="B161">
        <v>1</v>
      </c>
      <c r="C161">
        <v>3</v>
      </c>
      <c r="D161" t="s">
        <v>244</v>
      </c>
      <c r="E161" t="s">
        <v>14</v>
      </c>
      <c r="F161">
        <v>26</v>
      </c>
      <c r="G161">
        <v>0</v>
      </c>
      <c r="H161">
        <v>2</v>
      </c>
      <c r="I161" t="s">
        <v>245</v>
      </c>
      <c r="J161">
        <v>13.775</v>
      </c>
      <c r="L161" t="s">
        <v>15</v>
      </c>
    </row>
    <row r="162" spans="1:12" x14ac:dyDescent="0.35">
      <c r="A162">
        <v>1052</v>
      </c>
      <c r="B162">
        <v>1</v>
      </c>
      <c r="C162">
        <v>3</v>
      </c>
      <c r="D162" t="s">
        <v>246</v>
      </c>
      <c r="E162" t="s">
        <v>14</v>
      </c>
      <c r="G162">
        <v>0</v>
      </c>
      <c r="H162">
        <v>0</v>
      </c>
      <c r="I162">
        <v>335432</v>
      </c>
      <c r="J162">
        <v>7.7332999999999998</v>
      </c>
      <c r="L162" t="s">
        <v>12</v>
      </c>
    </row>
    <row r="163" spans="1:12" x14ac:dyDescent="0.35">
      <c r="A163">
        <v>1053</v>
      </c>
      <c r="B163">
        <v>0</v>
      </c>
      <c r="C163">
        <v>3</v>
      </c>
      <c r="D163" t="s">
        <v>247</v>
      </c>
      <c r="E163" t="s">
        <v>11</v>
      </c>
      <c r="F163">
        <v>7</v>
      </c>
      <c r="G163">
        <v>1</v>
      </c>
      <c r="H163">
        <v>1</v>
      </c>
      <c r="I163">
        <v>2650</v>
      </c>
      <c r="J163">
        <v>15.245799999999999</v>
      </c>
      <c r="L163" t="s">
        <v>23</v>
      </c>
    </row>
    <row r="164" spans="1:12" x14ac:dyDescent="0.35">
      <c r="A164">
        <v>1054</v>
      </c>
      <c r="B164">
        <v>1</v>
      </c>
      <c r="C164">
        <v>2</v>
      </c>
      <c r="D164" t="s">
        <v>248</v>
      </c>
      <c r="E164" t="s">
        <v>14</v>
      </c>
      <c r="F164">
        <v>26</v>
      </c>
      <c r="G164">
        <v>0</v>
      </c>
      <c r="H164">
        <v>0</v>
      </c>
      <c r="I164">
        <v>220844</v>
      </c>
      <c r="J164">
        <v>13.5</v>
      </c>
      <c r="L164" t="s">
        <v>15</v>
      </c>
    </row>
    <row r="165" spans="1:12" x14ac:dyDescent="0.35">
      <c r="A165">
        <v>1055</v>
      </c>
      <c r="B165">
        <v>0</v>
      </c>
      <c r="C165">
        <v>3</v>
      </c>
      <c r="D165" t="s">
        <v>249</v>
      </c>
      <c r="E165" t="s">
        <v>11</v>
      </c>
      <c r="G165">
        <v>0</v>
      </c>
      <c r="H165">
        <v>0</v>
      </c>
      <c r="I165">
        <v>343271</v>
      </c>
      <c r="J165">
        <v>7</v>
      </c>
      <c r="L165" t="s">
        <v>15</v>
      </c>
    </row>
    <row r="166" spans="1:12" x14ac:dyDescent="0.35">
      <c r="A166">
        <v>1056</v>
      </c>
      <c r="B166">
        <v>0</v>
      </c>
      <c r="C166">
        <v>2</v>
      </c>
      <c r="D166" t="s">
        <v>250</v>
      </c>
      <c r="E166" t="s">
        <v>11</v>
      </c>
      <c r="F166">
        <v>41</v>
      </c>
      <c r="G166">
        <v>0</v>
      </c>
      <c r="H166">
        <v>0</v>
      </c>
      <c r="I166">
        <v>237393</v>
      </c>
      <c r="J166">
        <v>13</v>
      </c>
      <c r="L166" t="s">
        <v>15</v>
      </c>
    </row>
    <row r="167" spans="1:12" x14ac:dyDescent="0.35">
      <c r="A167">
        <v>1057</v>
      </c>
      <c r="B167">
        <v>1</v>
      </c>
      <c r="C167">
        <v>3</v>
      </c>
      <c r="D167" t="s">
        <v>251</v>
      </c>
      <c r="E167" t="s">
        <v>14</v>
      </c>
      <c r="F167">
        <v>26</v>
      </c>
      <c r="G167">
        <v>1</v>
      </c>
      <c r="H167">
        <v>1</v>
      </c>
      <c r="I167">
        <v>315153</v>
      </c>
      <c r="J167">
        <v>22.024999999999999</v>
      </c>
      <c r="L167" t="s">
        <v>15</v>
      </c>
    </row>
    <row r="168" spans="1:12" x14ac:dyDescent="0.35">
      <c r="A168">
        <v>1058</v>
      </c>
      <c r="B168">
        <v>0</v>
      </c>
      <c r="C168">
        <v>1</v>
      </c>
      <c r="D168" t="s">
        <v>252</v>
      </c>
      <c r="E168" t="s">
        <v>11</v>
      </c>
      <c r="F168">
        <v>48</v>
      </c>
      <c r="G168">
        <v>0</v>
      </c>
      <c r="H168">
        <v>0</v>
      </c>
      <c r="I168" t="s">
        <v>253</v>
      </c>
      <c r="J168">
        <v>50.495800000000003</v>
      </c>
      <c r="K168" t="s">
        <v>254</v>
      </c>
      <c r="L168" t="s">
        <v>23</v>
      </c>
    </row>
    <row r="169" spans="1:12" x14ac:dyDescent="0.35">
      <c r="A169">
        <v>1059</v>
      </c>
      <c r="B169">
        <v>0</v>
      </c>
      <c r="C169">
        <v>3</v>
      </c>
      <c r="D169" t="s">
        <v>255</v>
      </c>
      <c r="E169" t="s">
        <v>11</v>
      </c>
      <c r="F169">
        <v>18</v>
      </c>
      <c r="G169">
        <v>2</v>
      </c>
      <c r="H169">
        <v>2</v>
      </c>
      <c r="I169" t="s">
        <v>256</v>
      </c>
      <c r="J169">
        <v>34.375</v>
      </c>
      <c r="L169" t="s">
        <v>15</v>
      </c>
    </row>
    <row r="170" spans="1:12" x14ac:dyDescent="0.35">
      <c r="A170">
        <v>1060</v>
      </c>
      <c r="B170">
        <v>1</v>
      </c>
      <c r="C170">
        <v>1</v>
      </c>
      <c r="D170" t="s">
        <v>257</v>
      </c>
      <c r="E170" t="s">
        <v>14</v>
      </c>
      <c r="G170">
        <v>0</v>
      </c>
      <c r="H170">
        <v>0</v>
      </c>
      <c r="I170">
        <v>17770</v>
      </c>
      <c r="J170">
        <v>27.720800000000001</v>
      </c>
      <c r="L170" t="s">
        <v>23</v>
      </c>
    </row>
    <row r="171" spans="1:12" x14ac:dyDescent="0.35">
      <c r="A171">
        <v>1061</v>
      </c>
      <c r="B171">
        <v>1</v>
      </c>
      <c r="C171">
        <v>3</v>
      </c>
      <c r="D171" t="s">
        <v>258</v>
      </c>
      <c r="E171" t="s">
        <v>14</v>
      </c>
      <c r="F171">
        <v>22</v>
      </c>
      <c r="G171">
        <v>0</v>
      </c>
      <c r="H171">
        <v>0</v>
      </c>
      <c r="I171">
        <v>7548</v>
      </c>
      <c r="J171">
        <v>8.9625000000000004</v>
      </c>
      <c r="L171" t="s">
        <v>15</v>
      </c>
    </row>
    <row r="172" spans="1:12" x14ac:dyDescent="0.35">
      <c r="A172">
        <v>1062</v>
      </c>
      <c r="B172">
        <v>0</v>
      </c>
      <c r="C172">
        <v>3</v>
      </c>
      <c r="D172" t="s">
        <v>259</v>
      </c>
      <c r="E172" t="s">
        <v>11</v>
      </c>
      <c r="G172">
        <v>0</v>
      </c>
      <c r="H172">
        <v>0</v>
      </c>
      <c r="I172" t="s">
        <v>260</v>
      </c>
      <c r="J172">
        <v>7.55</v>
      </c>
      <c r="L172" t="s">
        <v>15</v>
      </c>
    </row>
    <row r="173" spans="1:12" x14ac:dyDescent="0.35">
      <c r="A173">
        <v>1063</v>
      </c>
      <c r="B173">
        <v>0</v>
      </c>
      <c r="C173">
        <v>3</v>
      </c>
      <c r="D173" t="s">
        <v>261</v>
      </c>
      <c r="E173" t="s">
        <v>11</v>
      </c>
      <c r="F173">
        <v>27</v>
      </c>
      <c r="G173">
        <v>0</v>
      </c>
      <c r="H173">
        <v>0</v>
      </c>
      <c r="I173">
        <v>2670</v>
      </c>
      <c r="J173">
        <v>7.2249999999999996</v>
      </c>
      <c r="L173" t="s">
        <v>23</v>
      </c>
    </row>
    <row r="174" spans="1:12" x14ac:dyDescent="0.35">
      <c r="A174">
        <v>1064</v>
      </c>
      <c r="B174">
        <v>0</v>
      </c>
      <c r="C174">
        <v>3</v>
      </c>
      <c r="D174" t="s">
        <v>262</v>
      </c>
      <c r="E174" t="s">
        <v>11</v>
      </c>
      <c r="F174">
        <v>23</v>
      </c>
      <c r="G174">
        <v>1</v>
      </c>
      <c r="H174">
        <v>0</v>
      </c>
      <c r="I174">
        <v>347072</v>
      </c>
      <c r="J174">
        <v>13.9</v>
      </c>
      <c r="L174" t="s">
        <v>15</v>
      </c>
    </row>
    <row r="175" spans="1:12" x14ac:dyDescent="0.35">
      <c r="A175">
        <v>1065</v>
      </c>
      <c r="B175">
        <v>0</v>
      </c>
      <c r="C175">
        <v>3</v>
      </c>
      <c r="D175" t="s">
        <v>263</v>
      </c>
      <c r="E175" t="s">
        <v>11</v>
      </c>
      <c r="G175">
        <v>0</v>
      </c>
      <c r="H175">
        <v>0</v>
      </c>
      <c r="I175">
        <v>2673</v>
      </c>
      <c r="J175">
        <v>7.2291999999999996</v>
      </c>
      <c r="L175" t="s">
        <v>23</v>
      </c>
    </row>
    <row r="176" spans="1:12" x14ac:dyDescent="0.35">
      <c r="A176">
        <v>1066</v>
      </c>
      <c r="B176">
        <v>0</v>
      </c>
      <c r="C176">
        <v>3</v>
      </c>
      <c r="D176" t="s">
        <v>264</v>
      </c>
      <c r="E176" t="s">
        <v>11</v>
      </c>
      <c r="F176">
        <v>40</v>
      </c>
      <c r="G176">
        <v>1</v>
      </c>
      <c r="H176">
        <v>5</v>
      </c>
      <c r="I176">
        <v>347077</v>
      </c>
      <c r="J176">
        <v>31.387499999999999</v>
      </c>
      <c r="L176" t="s">
        <v>15</v>
      </c>
    </row>
    <row r="177" spans="1:12" x14ac:dyDescent="0.35">
      <c r="A177">
        <v>1067</v>
      </c>
      <c r="B177">
        <v>1</v>
      </c>
      <c r="C177">
        <v>2</v>
      </c>
      <c r="D177" t="s">
        <v>265</v>
      </c>
      <c r="E177" t="s">
        <v>14</v>
      </c>
      <c r="F177">
        <v>15</v>
      </c>
      <c r="G177">
        <v>0</v>
      </c>
      <c r="H177">
        <v>2</v>
      </c>
      <c r="I177">
        <v>29750</v>
      </c>
      <c r="J177">
        <v>39</v>
      </c>
      <c r="L177" t="s">
        <v>15</v>
      </c>
    </row>
    <row r="178" spans="1:12" x14ac:dyDescent="0.35">
      <c r="A178">
        <v>1068</v>
      </c>
      <c r="B178">
        <v>1</v>
      </c>
      <c r="C178">
        <v>2</v>
      </c>
      <c r="D178" t="s">
        <v>266</v>
      </c>
      <c r="E178" t="s">
        <v>14</v>
      </c>
      <c r="F178">
        <v>20</v>
      </c>
      <c r="G178">
        <v>0</v>
      </c>
      <c r="H178">
        <v>0</v>
      </c>
      <c r="I178" t="s">
        <v>267</v>
      </c>
      <c r="J178">
        <v>36.75</v>
      </c>
      <c r="L178" t="s">
        <v>15</v>
      </c>
    </row>
    <row r="179" spans="1:12" x14ac:dyDescent="0.35">
      <c r="A179">
        <v>1069</v>
      </c>
      <c r="B179">
        <v>0</v>
      </c>
      <c r="C179">
        <v>1</v>
      </c>
      <c r="D179" t="s">
        <v>268</v>
      </c>
      <c r="E179" t="s">
        <v>11</v>
      </c>
      <c r="F179">
        <v>54</v>
      </c>
      <c r="G179">
        <v>1</v>
      </c>
      <c r="H179">
        <v>0</v>
      </c>
      <c r="I179">
        <v>11778</v>
      </c>
      <c r="J179">
        <v>55.441699999999997</v>
      </c>
      <c r="K179" t="s">
        <v>165</v>
      </c>
      <c r="L179" t="s">
        <v>23</v>
      </c>
    </row>
    <row r="180" spans="1:12" x14ac:dyDescent="0.35">
      <c r="A180">
        <v>1070</v>
      </c>
      <c r="B180">
        <v>1</v>
      </c>
      <c r="C180">
        <v>2</v>
      </c>
      <c r="D180" t="s">
        <v>269</v>
      </c>
      <c r="E180" t="s">
        <v>14</v>
      </c>
      <c r="F180">
        <v>36</v>
      </c>
      <c r="G180">
        <v>0</v>
      </c>
      <c r="H180">
        <v>3</v>
      </c>
      <c r="I180">
        <v>230136</v>
      </c>
      <c r="J180">
        <v>39</v>
      </c>
      <c r="K180" t="s">
        <v>270</v>
      </c>
      <c r="L180" t="s">
        <v>15</v>
      </c>
    </row>
    <row r="181" spans="1:12" x14ac:dyDescent="0.35">
      <c r="A181">
        <v>1071</v>
      </c>
      <c r="B181">
        <v>1</v>
      </c>
      <c r="C181">
        <v>1</v>
      </c>
      <c r="D181" t="s">
        <v>271</v>
      </c>
      <c r="E181" t="s">
        <v>14</v>
      </c>
      <c r="F181">
        <v>64</v>
      </c>
      <c r="G181">
        <v>0</v>
      </c>
      <c r="H181">
        <v>2</v>
      </c>
      <c r="I181" t="s">
        <v>272</v>
      </c>
      <c r="J181">
        <v>83.158299999999997</v>
      </c>
      <c r="K181" t="s">
        <v>273</v>
      </c>
      <c r="L181" t="s">
        <v>23</v>
      </c>
    </row>
    <row r="182" spans="1:12" x14ac:dyDescent="0.35">
      <c r="A182">
        <v>1072</v>
      </c>
      <c r="B182">
        <v>0</v>
      </c>
      <c r="C182">
        <v>2</v>
      </c>
      <c r="D182" t="s">
        <v>274</v>
      </c>
      <c r="E182" t="s">
        <v>11</v>
      </c>
      <c r="F182">
        <v>30</v>
      </c>
      <c r="G182">
        <v>0</v>
      </c>
      <c r="H182">
        <v>0</v>
      </c>
      <c r="I182">
        <v>233478</v>
      </c>
      <c r="J182">
        <v>13</v>
      </c>
      <c r="L182" t="s">
        <v>15</v>
      </c>
    </row>
    <row r="183" spans="1:12" x14ac:dyDescent="0.35">
      <c r="A183">
        <v>1073</v>
      </c>
      <c r="B183">
        <v>0</v>
      </c>
      <c r="C183">
        <v>1</v>
      </c>
      <c r="D183" t="s">
        <v>275</v>
      </c>
      <c r="E183" t="s">
        <v>11</v>
      </c>
      <c r="F183">
        <v>37</v>
      </c>
      <c r="G183">
        <v>1</v>
      </c>
      <c r="H183">
        <v>1</v>
      </c>
      <c r="I183" t="s">
        <v>272</v>
      </c>
      <c r="J183">
        <v>83.158299999999997</v>
      </c>
      <c r="K183" t="s">
        <v>276</v>
      </c>
      <c r="L183" t="s">
        <v>23</v>
      </c>
    </row>
    <row r="184" spans="1:12" x14ac:dyDescent="0.35">
      <c r="A184">
        <v>1074</v>
      </c>
      <c r="B184">
        <v>1</v>
      </c>
      <c r="C184">
        <v>1</v>
      </c>
      <c r="D184" t="s">
        <v>277</v>
      </c>
      <c r="E184" t="s">
        <v>14</v>
      </c>
      <c r="F184">
        <v>18</v>
      </c>
      <c r="G184">
        <v>1</v>
      </c>
      <c r="H184">
        <v>0</v>
      </c>
      <c r="I184">
        <v>113773</v>
      </c>
      <c r="J184">
        <v>53.1</v>
      </c>
      <c r="K184" t="s">
        <v>278</v>
      </c>
      <c r="L184" t="s">
        <v>15</v>
      </c>
    </row>
    <row r="185" spans="1:12" x14ac:dyDescent="0.35">
      <c r="A185">
        <v>1075</v>
      </c>
      <c r="B185">
        <v>0</v>
      </c>
      <c r="C185">
        <v>3</v>
      </c>
      <c r="D185" t="s">
        <v>279</v>
      </c>
      <c r="E185" t="s">
        <v>11</v>
      </c>
      <c r="G185">
        <v>0</v>
      </c>
      <c r="H185">
        <v>0</v>
      </c>
      <c r="I185">
        <v>7935</v>
      </c>
      <c r="J185">
        <v>7.75</v>
      </c>
      <c r="L185" t="s">
        <v>12</v>
      </c>
    </row>
    <row r="186" spans="1:12" x14ac:dyDescent="0.35">
      <c r="A186">
        <v>1076</v>
      </c>
      <c r="B186">
        <v>1</v>
      </c>
      <c r="C186">
        <v>1</v>
      </c>
      <c r="D186" t="s">
        <v>280</v>
      </c>
      <c r="E186" t="s">
        <v>14</v>
      </c>
      <c r="F186">
        <v>27</v>
      </c>
      <c r="G186">
        <v>1</v>
      </c>
      <c r="H186">
        <v>1</v>
      </c>
      <c r="I186" t="s">
        <v>281</v>
      </c>
      <c r="J186">
        <v>247.52080000000001</v>
      </c>
      <c r="K186" t="s">
        <v>282</v>
      </c>
      <c r="L186" t="s">
        <v>23</v>
      </c>
    </row>
    <row r="187" spans="1:12" x14ac:dyDescent="0.35">
      <c r="A187">
        <v>1077</v>
      </c>
      <c r="B187">
        <v>0</v>
      </c>
      <c r="C187">
        <v>2</v>
      </c>
      <c r="D187" t="s">
        <v>283</v>
      </c>
      <c r="E187" t="s">
        <v>11</v>
      </c>
      <c r="F187">
        <v>40</v>
      </c>
      <c r="G187">
        <v>0</v>
      </c>
      <c r="H187">
        <v>0</v>
      </c>
      <c r="I187">
        <v>239059</v>
      </c>
      <c r="J187">
        <v>16</v>
      </c>
      <c r="L187" t="s">
        <v>15</v>
      </c>
    </row>
    <row r="188" spans="1:12" x14ac:dyDescent="0.35">
      <c r="A188">
        <v>1078</v>
      </c>
      <c r="B188">
        <v>1</v>
      </c>
      <c r="C188">
        <v>2</v>
      </c>
      <c r="D188" t="s">
        <v>284</v>
      </c>
      <c r="E188" t="s">
        <v>14</v>
      </c>
      <c r="F188">
        <v>21</v>
      </c>
      <c r="G188">
        <v>0</v>
      </c>
      <c r="H188">
        <v>1</v>
      </c>
      <c r="I188" t="s">
        <v>285</v>
      </c>
      <c r="J188">
        <v>21</v>
      </c>
      <c r="L188" t="s">
        <v>15</v>
      </c>
    </row>
    <row r="189" spans="1:12" x14ac:dyDescent="0.35">
      <c r="A189">
        <v>1079</v>
      </c>
      <c r="B189">
        <v>0</v>
      </c>
      <c r="C189">
        <v>3</v>
      </c>
      <c r="D189" t="s">
        <v>286</v>
      </c>
      <c r="E189" t="s">
        <v>11</v>
      </c>
      <c r="F189">
        <v>17</v>
      </c>
      <c r="G189">
        <v>2</v>
      </c>
      <c r="H189">
        <v>0</v>
      </c>
      <c r="I189" t="s">
        <v>287</v>
      </c>
      <c r="J189">
        <v>8.0500000000000007</v>
      </c>
      <c r="L189" t="s">
        <v>15</v>
      </c>
    </row>
    <row r="190" spans="1:12" x14ac:dyDescent="0.35">
      <c r="A190">
        <v>1080</v>
      </c>
      <c r="B190">
        <v>1</v>
      </c>
      <c r="C190">
        <v>3</v>
      </c>
      <c r="D190" t="s">
        <v>288</v>
      </c>
      <c r="E190" t="s">
        <v>14</v>
      </c>
      <c r="G190">
        <v>8</v>
      </c>
      <c r="H190">
        <v>2</v>
      </c>
      <c r="I190" t="s">
        <v>289</v>
      </c>
      <c r="J190">
        <v>69.55</v>
      </c>
      <c r="L190" t="s">
        <v>15</v>
      </c>
    </row>
    <row r="191" spans="1:12" x14ac:dyDescent="0.35">
      <c r="A191">
        <v>1081</v>
      </c>
      <c r="B191">
        <v>0</v>
      </c>
      <c r="C191">
        <v>2</v>
      </c>
      <c r="D191" t="s">
        <v>290</v>
      </c>
      <c r="E191" t="s">
        <v>11</v>
      </c>
      <c r="F191">
        <v>40</v>
      </c>
      <c r="G191">
        <v>0</v>
      </c>
      <c r="H191">
        <v>0</v>
      </c>
      <c r="I191">
        <v>28221</v>
      </c>
      <c r="J191">
        <v>13</v>
      </c>
      <c r="L191" t="s">
        <v>15</v>
      </c>
    </row>
    <row r="192" spans="1:12" x14ac:dyDescent="0.35">
      <c r="A192">
        <v>1082</v>
      </c>
      <c r="B192">
        <v>0</v>
      </c>
      <c r="C192">
        <v>2</v>
      </c>
      <c r="D192" t="s">
        <v>291</v>
      </c>
      <c r="E192" t="s">
        <v>11</v>
      </c>
      <c r="F192">
        <v>34</v>
      </c>
      <c r="G192">
        <v>1</v>
      </c>
      <c r="H192">
        <v>0</v>
      </c>
      <c r="I192">
        <v>226875</v>
      </c>
      <c r="J192">
        <v>26</v>
      </c>
      <c r="L192" t="s">
        <v>15</v>
      </c>
    </row>
    <row r="193" spans="1:12" x14ac:dyDescent="0.35">
      <c r="A193">
        <v>1083</v>
      </c>
      <c r="B193">
        <v>0</v>
      </c>
      <c r="C193">
        <v>1</v>
      </c>
      <c r="D193" t="s">
        <v>292</v>
      </c>
      <c r="E193" t="s">
        <v>11</v>
      </c>
      <c r="G193">
        <v>0</v>
      </c>
      <c r="H193">
        <v>0</v>
      </c>
      <c r="I193">
        <v>111163</v>
      </c>
      <c r="J193">
        <v>26</v>
      </c>
      <c r="L193" t="s">
        <v>15</v>
      </c>
    </row>
    <row r="194" spans="1:12" x14ac:dyDescent="0.35">
      <c r="A194">
        <v>1084</v>
      </c>
      <c r="B194">
        <v>0</v>
      </c>
      <c r="C194">
        <v>3</v>
      </c>
      <c r="D194" t="s">
        <v>293</v>
      </c>
      <c r="E194" t="s">
        <v>11</v>
      </c>
      <c r="F194">
        <v>11.5</v>
      </c>
      <c r="G194">
        <v>1</v>
      </c>
      <c r="H194">
        <v>1</v>
      </c>
      <c r="I194" t="s">
        <v>294</v>
      </c>
      <c r="J194">
        <v>14.5</v>
      </c>
      <c r="L194" t="s">
        <v>15</v>
      </c>
    </row>
    <row r="195" spans="1:12" x14ac:dyDescent="0.35">
      <c r="A195">
        <v>1085</v>
      </c>
      <c r="B195">
        <v>0</v>
      </c>
      <c r="C195">
        <v>2</v>
      </c>
      <c r="D195" t="s">
        <v>295</v>
      </c>
      <c r="E195" t="s">
        <v>11</v>
      </c>
      <c r="F195">
        <v>61</v>
      </c>
      <c r="G195">
        <v>0</v>
      </c>
      <c r="H195">
        <v>0</v>
      </c>
      <c r="I195">
        <v>235509</v>
      </c>
      <c r="J195">
        <v>12.35</v>
      </c>
      <c r="L195" t="s">
        <v>12</v>
      </c>
    </row>
    <row r="196" spans="1:12" x14ac:dyDescent="0.35">
      <c r="A196">
        <v>1086</v>
      </c>
      <c r="B196">
        <v>0</v>
      </c>
      <c r="C196">
        <v>2</v>
      </c>
      <c r="D196" t="s">
        <v>296</v>
      </c>
      <c r="E196" t="s">
        <v>11</v>
      </c>
      <c r="F196">
        <v>8</v>
      </c>
      <c r="G196">
        <v>0</v>
      </c>
      <c r="H196">
        <v>2</v>
      </c>
      <c r="I196">
        <v>28220</v>
      </c>
      <c r="J196">
        <v>32.5</v>
      </c>
      <c r="L196" t="s">
        <v>15</v>
      </c>
    </row>
    <row r="197" spans="1:12" x14ac:dyDescent="0.35">
      <c r="A197">
        <v>1087</v>
      </c>
      <c r="B197">
        <v>0</v>
      </c>
      <c r="C197">
        <v>3</v>
      </c>
      <c r="D197" t="s">
        <v>297</v>
      </c>
      <c r="E197" t="s">
        <v>11</v>
      </c>
      <c r="F197">
        <v>33</v>
      </c>
      <c r="G197">
        <v>0</v>
      </c>
      <c r="H197">
        <v>0</v>
      </c>
      <c r="I197">
        <v>347465</v>
      </c>
      <c r="J197">
        <v>7.8541999999999996</v>
      </c>
      <c r="L197" t="s">
        <v>15</v>
      </c>
    </row>
    <row r="198" spans="1:12" x14ac:dyDescent="0.35">
      <c r="A198">
        <v>1088</v>
      </c>
      <c r="B198">
        <v>0</v>
      </c>
      <c r="C198">
        <v>1</v>
      </c>
      <c r="D198" t="s">
        <v>298</v>
      </c>
      <c r="E198" t="s">
        <v>11</v>
      </c>
      <c r="F198">
        <v>6</v>
      </c>
      <c r="G198">
        <v>0</v>
      </c>
      <c r="H198">
        <v>2</v>
      </c>
      <c r="I198">
        <v>16966</v>
      </c>
      <c r="J198">
        <v>134.5</v>
      </c>
      <c r="K198" t="s">
        <v>299</v>
      </c>
      <c r="L198" t="s">
        <v>23</v>
      </c>
    </row>
    <row r="199" spans="1:12" x14ac:dyDescent="0.35">
      <c r="A199">
        <v>1089</v>
      </c>
      <c r="B199">
        <v>1</v>
      </c>
      <c r="C199">
        <v>3</v>
      </c>
      <c r="D199" t="s">
        <v>300</v>
      </c>
      <c r="E199" t="s">
        <v>14</v>
      </c>
      <c r="F199">
        <v>18</v>
      </c>
      <c r="G199">
        <v>0</v>
      </c>
      <c r="H199">
        <v>0</v>
      </c>
      <c r="I199">
        <v>347066</v>
      </c>
      <c r="J199">
        <v>7.7750000000000004</v>
      </c>
      <c r="L199" t="s">
        <v>15</v>
      </c>
    </row>
    <row r="200" spans="1:12" x14ac:dyDescent="0.35">
      <c r="A200">
        <v>1090</v>
      </c>
      <c r="B200">
        <v>0</v>
      </c>
      <c r="C200">
        <v>2</v>
      </c>
      <c r="D200" t="s">
        <v>301</v>
      </c>
      <c r="E200" t="s">
        <v>11</v>
      </c>
      <c r="F200">
        <v>23</v>
      </c>
      <c r="G200">
        <v>0</v>
      </c>
      <c r="H200">
        <v>0</v>
      </c>
      <c r="I200" t="s">
        <v>302</v>
      </c>
      <c r="J200">
        <v>10.5</v>
      </c>
      <c r="L200" t="s">
        <v>15</v>
      </c>
    </row>
    <row r="201" spans="1:12" x14ac:dyDescent="0.35">
      <c r="A201">
        <v>1091</v>
      </c>
      <c r="B201">
        <v>1</v>
      </c>
      <c r="C201">
        <v>3</v>
      </c>
      <c r="D201" t="s">
        <v>303</v>
      </c>
      <c r="E201" t="s">
        <v>14</v>
      </c>
      <c r="G201">
        <v>0</v>
      </c>
      <c r="H201">
        <v>0</v>
      </c>
      <c r="I201">
        <v>65305</v>
      </c>
      <c r="J201">
        <v>8.1125000000000007</v>
      </c>
      <c r="L201" t="s">
        <v>15</v>
      </c>
    </row>
    <row r="202" spans="1:12" x14ac:dyDescent="0.35">
      <c r="A202">
        <v>1092</v>
      </c>
      <c r="B202">
        <v>1</v>
      </c>
      <c r="C202">
        <v>3</v>
      </c>
      <c r="D202" t="s">
        <v>304</v>
      </c>
      <c r="E202" t="s">
        <v>14</v>
      </c>
      <c r="G202">
        <v>0</v>
      </c>
      <c r="H202">
        <v>0</v>
      </c>
      <c r="I202">
        <v>36568</v>
      </c>
      <c r="J202">
        <v>15.5</v>
      </c>
      <c r="L202" t="s">
        <v>12</v>
      </c>
    </row>
    <row r="203" spans="1:12" x14ac:dyDescent="0.35">
      <c r="A203">
        <v>1093</v>
      </c>
      <c r="B203">
        <v>0</v>
      </c>
      <c r="C203">
        <v>3</v>
      </c>
      <c r="D203" t="s">
        <v>305</v>
      </c>
      <c r="E203" t="s">
        <v>11</v>
      </c>
      <c r="F203">
        <v>0.33</v>
      </c>
      <c r="G203">
        <v>0</v>
      </c>
      <c r="H203">
        <v>2</v>
      </c>
      <c r="I203">
        <v>347080</v>
      </c>
      <c r="J203">
        <v>14.4</v>
      </c>
      <c r="L203" t="s">
        <v>15</v>
      </c>
    </row>
    <row r="204" spans="1:12" x14ac:dyDescent="0.35">
      <c r="A204">
        <v>1094</v>
      </c>
      <c r="B204">
        <v>0</v>
      </c>
      <c r="C204">
        <v>1</v>
      </c>
      <c r="D204" t="s">
        <v>306</v>
      </c>
      <c r="E204" t="s">
        <v>11</v>
      </c>
      <c r="F204">
        <v>47</v>
      </c>
      <c r="G204">
        <v>1</v>
      </c>
      <c r="H204">
        <v>0</v>
      </c>
      <c r="I204" t="s">
        <v>307</v>
      </c>
      <c r="J204">
        <v>227.52500000000001</v>
      </c>
      <c r="K204" t="s">
        <v>308</v>
      </c>
      <c r="L204" t="s">
        <v>23</v>
      </c>
    </row>
    <row r="205" spans="1:12" x14ac:dyDescent="0.35">
      <c r="A205">
        <v>1095</v>
      </c>
      <c r="B205">
        <v>1</v>
      </c>
      <c r="C205">
        <v>2</v>
      </c>
      <c r="D205" t="s">
        <v>309</v>
      </c>
      <c r="E205" t="s">
        <v>14</v>
      </c>
      <c r="F205">
        <v>8</v>
      </c>
      <c r="G205">
        <v>1</v>
      </c>
      <c r="H205">
        <v>1</v>
      </c>
      <c r="I205">
        <v>26360</v>
      </c>
      <c r="J205">
        <v>26</v>
      </c>
      <c r="L205" t="s">
        <v>15</v>
      </c>
    </row>
    <row r="206" spans="1:12" x14ac:dyDescent="0.35">
      <c r="A206">
        <v>1096</v>
      </c>
      <c r="B206">
        <v>0</v>
      </c>
      <c r="C206">
        <v>2</v>
      </c>
      <c r="D206" t="s">
        <v>310</v>
      </c>
      <c r="E206" t="s">
        <v>11</v>
      </c>
      <c r="F206">
        <v>25</v>
      </c>
      <c r="G206">
        <v>0</v>
      </c>
      <c r="H206">
        <v>0</v>
      </c>
      <c r="I206" t="s">
        <v>311</v>
      </c>
      <c r="J206">
        <v>10.5</v>
      </c>
      <c r="L206" t="s">
        <v>15</v>
      </c>
    </row>
    <row r="207" spans="1:12" x14ac:dyDescent="0.35">
      <c r="A207">
        <v>1097</v>
      </c>
      <c r="B207">
        <v>0</v>
      </c>
      <c r="C207">
        <v>1</v>
      </c>
      <c r="D207" t="s">
        <v>312</v>
      </c>
      <c r="E207" t="s">
        <v>11</v>
      </c>
      <c r="G207">
        <v>0</v>
      </c>
      <c r="H207">
        <v>0</v>
      </c>
      <c r="I207" t="s">
        <v>313</v>
      </c>
      <c r="J207">
        <v>25.741700000000002</v>
      </c>
      <c r="L207" t="s">
        <v>23</v>
      </c>
    </row>
    <row r="208" spans="1:12" x14ac:dyDescent="0.35">
      <c r="A208">
        <v>1098</v>
      </c>
      <c r="B208">
        <v>1</v>
      </c>
      <c r="C208">
        <v>3</v>
      </c>
      <c r="D208" t="s">
        <v>314</v>
      </c>
      <c r="E208" t="s">
        <v>14</v>
      </c>
      <c r="F208">
        <v>35</v>
      </c>
      <c r="G208">
        <v>0</v>
      </c>
      <c r="H208">
        <v>0</v>
      </c>
      <c r="I208">
        <v>9232</v>
      </c>
      <c r="J208">
        <v>7.75</v>
      </c>
      <c r="L208" t="s">
        <v>12</v>
      </c>
    </row>
    <row r="209" spans="1:12" x14ac:dyDescent="0.35">
      <c r="A209">
        <v>1099</v>
      </c>
      <c r="B209">
        <v>0</v>
      </c>
      <c r="C209">
        <v>2</v>
      </c>
      <c r="D209" t="s">
        <v>315</v>
      </c>
      <c r="E209" t="s">
        <v>11</v>
      </c>
      <c r="F209">
        <v>24</v>
      </c>
      <c r="G209">
        <v>0</v>
      </c>
      <c r="H209">
        <v>0</v>
      </c>
      <c r="I209">
        <v>28034</v>
      </c>
      <c r="J209">
        <v>10.5</v>
      </c>
      <c r="L209" t="s">
        <v>15</v>
      </c>
    </row>
    <row r="210" spans="1:12" x14ac:dyDescent="0.35">
      <c r="A210">
        <v>1100</v>
      </c>
      <c r="B210">
        <v>1</v>
      </c>
      <c r="C210">
        <v>1</v>
      </c>
      <c r="D210" t="s">
        <v>316</v>
      </c>
      <c r="E210" t="s">
        <v>14</v>
      </c>
      <c r="F210">
        <v>33</v>
      </c>
      <c r="G210">
        <v>0</v>
      </c>
      <c r="H210">
        <v>0</v>
      </c>
      <c r="I210" t="s">
        <v>317</v>
      </c>
      <c r="J210">
        <v>27.720800000000001</v>
      </c>
      <c r="K210" t="s">
        <v>318</v>
      </c>
      <c r="L210" t="s">
        <v>23</v>
      </c>
    </row>
    <row r="211" spans="1:12" x14ac:dyDescent="0.35">
      <c r="A211">
        <v>1101</v>
      </c>
      <c r="B211">
        <v>0</v>
      </c>
      <c r="C211">
        <v>3</v>
      </c>
      <c r="D211" t="s">
        <v>319</v>
      </c>
      <c r="E211" t="s">
        <v>11</v>
      </c>
      <c r="F211">
        <v>25</v>
      </c>
      <c r="G211">
        <v>0</v>
      </c>
      <c r="H211">
        <v>0</v>
      </c>
      <c r="I211">
        <v>349250</v>
      </c>
      <c r="J211">
        <v>7.8958000000000004</v>
      </c>
      <c r="L211" t="s">
        <v>15</v>
      </c>
    </row>
    <row r="212" spans="1:12" x14ac:dyDescent="0.35">
      <c r="A212">
        <v>1102</v>
      </c>
      <c r="B212">
        <v>0</v>
      </c>
      <c r="C212">
        <v>3</v>
      </c>
      <c r="D212" t="s">
        <v>320</v>
      </c>
      <c r="E212" t="s">
        <v>11</v>
      </c>
      <c r="F212">
        <v>32</v>
      </c>
      <c r="G212">
        <v>0</v>
      </c>
      <c r="H212">
        <v>0</v>
      </c>
      <c r="I212" t="s">
        <v>171</v>
      </c>
      <c r="J212">
        <v>22.524999999999999</v>
      </c>
      <c r="L212" t="s">
        <v>15</v>
      </c>
    </row>
    <row r="213" spans="1:12" x14ac:dyDescent="0.35">
      <c r="A213">
        <v>1103</v>
      </c>
      <c r="B213">
        <v>0</v>
      </c>
      <c r="C213">
        <v>3</v>
      </c>
      <c r="D213" t="s">
        <v>321</v>
      </c>
      <c r="E213" t="s">
        <v>11</v>
      </c>
      <c r="G213">
        <v>0</v>
      </c>
      <c r="H213">
        <v>0</v>
      </c>
      <c r="I213" t="s">
        <v>322</v>
      </c>
      <c r="J213">
        <v>7.05</v>
      </c>
      <c r="L213" t="s">
        <v>15</v>
      </c>
    </row>
    <row r="214" spans="1:12" x14ac:dyDescent="0.35">
      <c r="A214">
        <v>1104</v>
      </c>
      <c r="B214">
        <v>0</v>
      </c>
      <c r="C214">
        <v>2</v>
      </c>
      <c r="D214" t="s">
        <v>323</v>
      </c>
      <c r="E214" t="s">
        <v>11</v>
      </c>
      <c r="F214">
        <v>17</v>
      </c>
      <c r="G214">
        <v>0</v>
      </c>
      <c r="H214">
        <v>0</v>
      </c>
      <c r="I214" t="s">
        <v>324</v>
      </c>
      <c r="J214">
        <v>73.5</v>
      </c>
      <c r="L214" t="s">
        <v>15</v>
      </c>
    </row>
    <row r="215" spans="1:12" x14ac:dyDescent="0.35">
      <c r="A215">
        <v>1105</v>
      </c>
      <c r="B215">
        <v>1</v>
      </c>
      <c r="C215">
        <v>2</v>
      </c>
      <c r="D215" t="s">
        <v>325</v>
      </c>
      <c r="E215" t="s">
        <v>14</v>
      </c>
      <c r="F215">
        <v>60</v>
      </c>
      <c r="G215">
        <v>1</v>
      </c>
      <c r="H215">
        <v>0</v>
      </c>
      <c r="I215">
        <v>24065</v>
      </c>
      <c r="J215">
        <v>26</v>
      </c>
      <c r="L215" t="s">
        <v>15</v>
      </c>
    </row>
    <row r="216" spans="1:12" x14ac:dyDescent="0.35">
      <c r="A216">
        <v>1106</v>
      </c>
      <c r="B216">
        <v>1</v>
      </c>
      <c r="C216">
        <v>3</v>
      </c>
      <c r="D216" t="s">
        <v>326</v>
      </c>
      <c r="E216" t="s">
        <v>14</v>
      </c>
      <c r="F216">
        <v>38</v>
      </c>
      <c r="G216">
        <v>4</v>
      </c>
      <c r="H216">
        <v>2</v>
      </c>
      <c r="I216">
        <v>347091</v>
      </c>
      <c r="J216">
        <v>7.7750000000000004</v>
      </c>
      <c r="L216" t="s">
        <v>15</v>
      </c>
    </row>
    <row r="217" spans="1:12" x14ac:dyDescent="0.35">
      <c r="A217">
        <v>1107</v>
      </c>
      <c r="B217">
        <v>0</v>
      </c>
      <c r="C217">
        <v>1</v>
      </c>
      <c r="D217" t="s">
        <v>327</v>
      </c>
      <c r="E217" t="s">
        <v>11</v>
      </c>
      <c r="F217">
        <v>42</v>
      </c>
      <c r="G217">
        <v>0</v>
      </c>
      <c r="H217">
        <v>0</v>
      </c>
      <c r="I217">
        <v>113038</v>
      </c>
      <c r="J217">
        <v>42.5</v>
      </c>
      <c r="K217" t="s">
        <v>328</v>
      </c>
      <c r="L217" t="s">
        <v>15</v>
      </c>
    </row>
    <row r="218" spans="1:12" x14ac:dyDescent="0.35">
      <c r="A218">
        <v>1108</v>
      </c>
      <c r="B218">
        <v>1</v>
      </c>
      <c r="C218">
        <v>3</v>
      </c>
      <c r="D218" t="s">
        <v>329</v>
      </c>
      <c r="E218" t="s">
        <v>14</v>
      </c>
      <c r="G218">
        <v>0</v>
      </c>
      <c r="H218">
        <v>0</v>
      </c>
      <c r="I218">
        <v>330924</v>
      </c>
      <c r="J218">
        <v>7.8792</v>
      </c>
      <c r="L218" t="s">
        <v>12</v>
      </c>
    </row>
    <row r="219" spans="1:12" x14ac:dyDescent="0.35">
      <c r="A219">
        <v>1109</v>
      </c>
      <c r="B219">
        <v>0</v>
      </c>
      <c r="C219">
        <v>1</v>
      </c>
      <c r="D219" t="s">
        <v>330</v>
      </c>
      <c r="E219" t="s">
        <v>11</v>
      </c>
      <c r="F219">
        <v>57</v>
      </c>
      <c r="G219">
        <v>1</v>
      </c>
      <c r="H219">
        <v>1</v>
      </c>
      <c r="I219">
        <v>36928</v>
      </c>
      <c r="J219">
        <v>164.86670000000001</v>
      </c>
      <c r="L219" t="s">
        <v>15</v>
      </c>
    </row>
    <row r="220" spans="1:12" x14ac:dyDescent="0.35">
      <c r="A220">
        <v>1110</v>
      </c>
      <c r="B220">
        <v>1</v>
      </c>
      <c r="C220">
        <v>1</v>
      </c>
      <c r="D220" t="s">
        <v>331</v>
      </c>
      <c r="E220" t="s">
        <v>14</v>
      </c>
      <c r="F220">
        <v>50</v>
      </c>
      <c r="G220">
        <v>1</v>
      </c>
      <c r="H220">
        <v>1</v>
      </c>
      <c r="I220">
        <v>113503</v>
      </c>
      <c r="J220">
        <v>211.5</v>
      </c>
      <c r="K220" t="s">
        <v>332</v>
      </c>
      <c r="L220" t="s">
        <v>23</v>
      </c>
    </row>
    <row r="221" spans="1:12" x14ac:dyDescent="0.35">
      <c r="A221">
        <v>1111</v>
      </c>
      <c r="B221">
        <v>0</v>
      </c>
      <c r="C221">
        <v>3</v>
      </c>
      <c r="D221" t="s">
        <v>333</v>
      </c>
      <c r="E221" t="s">
        <v>11</v>
      </c>
      <c r="G221">
        <v>0</v>
      </c>
      <c r="H221">
        <v>0</v>
      </c>
      <c r="I221">
        <v>32302</v>
      </c>
      <c r="J221">
        <v>8.0500000000000007</v>
      </c>
      <c r="L221" t="s">
        <v>15</v>
      </c>
    </row>
    <row r="222" spans="1:12" x14ac:dyDescent="0.35">
      <c r="A222">
        <v>1112</v>
      </c>
      <c r="B222">
        <v>1</v>
      </c>
      <c r="C222">
        <v>2</v>
      </c>
      <c r="D222" t="s">
        <v>334</v>
      </c>
      <c r="E222" t="s">
        <v>14</v>
      </c>
      <c r="F222">
        <v>30</v>
      </c>
      <c r="G222">
        <v>1</v>
      </c>
      <c r="H222">
        <v>0</v>
      </c>
      <c r="I222" t="s">
        <v>335</v>
      </c>
      <c r="J222">
        <v>13.8583</v>
      </c>
      <c r="L222" t="s">
        <v>23</v>
      </c>
    </row>
    <row r="223" spans="1:12" x14ac:dyDescent="0.35">
      <c r="A223">
        <v>1113</v>
      </c>
      <c r="B223">
        <v>0</v>
      </c>
      <c r="C223">
        <v>3</v>
      </c>
      <c r="D223" t="s">
        <v>336</v>
      </c>
      <c r="E223" t="s">
        <v>11</v>
      </c>
      <c r="F223">
        <v>21</v>
      </c>
      <c r="G223">
        <v>0</v>
      </c>
      <c r="H223">
        <v>0</v>
      </c>
      <c r="I223">
        <v>342684</v>
      </c>
      <c r="J223">
        <v>8.0500000000000007</v>
      </c>
      <c r="L223" t="s">
        <v>15</v>
      </c>
    </row>
    <row r="224" spans="1:12" x14ac:dyDescent="0.35">
      <c r="A224">
        <v>1114</v>
      </c>
      <c r="B224">
        <v>1</v>
      </c>
      <c r="C224">
        <v>2</v>
      </c>
      <c r="D224" t="s">
        <v>337</v>
      </c>
      <c r="E224" t="s">
        <v>14</v>
      </c>
      <c r="F224">
        <v>22</v>
      </c>
      <c r="G224">
        <v>0</v>
      </c>
      <c r="H224">
        <v>0</v>
      </c>
      <c r="I224" t="s">
        <v>338</v>
      </c>
      <c r="J224">
        <v>10.5</v>
      </c>
      <c r="K224" t="s">
        <v>339</v>
      </c>
      <c r="L224" t="s">
        <v>15</v>
      </c>
    </row>
    <row r="225" spans="1:12" x14ac:dyDescent="0.35">
      <c r="A225">
        <v>1115</v>
      </c>
      <c r="B225">
        <v>0</v>
      </c>
      <c r="C225">
        <v>3</v>
      </c>
      <c r="D225" t="s">
        <v>340</v>
      </c>
      <c r="E225" t="s">
        <v>11</v>
      </c>
      <c r="F225">
        <v>21</v>
      </c>
      <c r="G225">
        <v>0</v>
      </c>
      <c r="H225">
        <v>0</v>
      </c>
      <c r="I225">
        <v>350053</v>
      </c>
      <c r="J225">
        <v>7.7957999999999998</v>
      </c>
      <c r="L225" t="s">
        <v>15</v>
      </c>
    </row>
    <row r="226" spans="1:12" x14ac:dyDescent="0.35">
      <c r="A226">
        <v>1116</v>
      </c>
      <c r="B226">
        <v>1</v>
      </c>
      <c r="C226">
        <v>1</v>
      </c>
      <c r="D226" t="s">
        <v>341</v>
      </c>
      <c r="E226" t="s">
        <v>14</v>
      </c>
      <c r="F226">
        <v>53</v>
      </c>
      <c r="G226">
        <v>0</v>
      </c>
      <c r="H226">
        <v>0</v>
      </c>
      <c r="I226" t="s">
        <v>342</v>
      </c>
      <c r="J226">
        <v>27.445799999999998</v>
      </c>
      <c r="L226" t="s">
        <v>23</v>
      </c>
    </row>
    <row r="227" spans="1:12" x14ac:dyDescent="0.35">
      <c r="A227">
        <v>1117</v>
      </c>
      <c r="B227">
        <v>1</v>
      </c>
      <c r="C227">
        <v>3</v>
      </c>
      <c r="D227" t="s">
        <v>343</v>
      </c>
      <c r="E227" t="s">
        <v>14</v>
      </c>
      <c r="G227">
        <v>0</v>
      </c>
      <c r="H227">
        <v>2</v>
      </c>
      <c r="I227">
        <v>2661</v>
      </c>
      <c r="J227">
        <v>15.245799999999999</v>
      </c>
      <c r="L227" t="s">
        <v>23</v>
      </c>
    </row>
    <row r="228" spans="1:12" x14ac:dyDescent="0.35">
      <c r="A228">
        <v>1118</v>
      </c>
      <c r="B228">
        <v>0</v>
      </c>
      <c r="C228">
        <v>3</v>
      </c>
      <c r="D228" t="s">
        <v>344</v>
      </c>
      <c r="E228" t="s">
        <v>11</v>
      </c>
      <c r="F228">
        <v>23</v>
      </c>
      <c r="G228">
        <v>0</v>
      </c>
      <c r="H228">
        <v>0</v>
      </c>
      <c r="I228">
        <v>350054</v>
      </c>
      <c r="J228">
        <v>7.7957999999999998</v>
      </c>
      <c r="L228" t="s">
        <v>15</v>
      </c>
    </row>
    <row r="229" spans="1:12" x14ac:dyDescent="0.35">
      <c r="A229">
        <v>1119</v>
      </c>
      <c r="B229">
        <v>1</v>
      </c>
      <c r="C229">
        <v>3</v>
      </c>
      <c r="D229" t="s">
        <v>345</v>
      </c>
      <c r="E229" t="s">
        <v>14</v>
      </c>
      <c r="G229">
        <v>0</v>
      </c>
      <c r="H229">
        <v>0</v>
      </c>
      <c r="I229">
        <v>370368</v>
      </c>
      <c r="J229">
        <v>7.75</v>
      </c>
      <c r="L229" t="s">
        <v>12</v>
      </c>
    </row>
    <row r="230" spans="1:12" x14ac:dyDescent="0.35">
      <c r="A230">
        <v>1120</v>
      </c>
      <c r="B230">
        <v>0</v>
      </c>
      <c r="C230">
        <v>3</v>
      </c>
      <c r="D230" t="s">
        <v>346</v>
      </c>
      <c r="E230" t="s">
        <v>11</v>
      </c>
      <c r="F230">
        <v>40.5</v>
      </c>
      <c r="G230">
        <v>0</v>
      </c>
      <c r="H230">
        <v>0</v>
      </c>
      <c r="I230" t="s">
        <v>347</v>
      </c>
      <c r="J230">
        <v>15.1</v>
      </c>
      <c r="L230" t="s">
        <v>15</v>
      </c>
    </row>
    <row r="231" spans="1:12" x14ac:dyDescent="0.35">
      <c r="A231">
        <v>1121</v>
      </c>
      <c r="B231">
        <v>0</v>
      </c>
      <c r="C231">
        <v>2</v>
      </c>
      <c r="D231" t="s">
        <v>348</v>
      </c>
      <c r="E231" t="s">
        <v>11</v>
      </c>
      <c r="F231">
        <v>36</v>
      </c>
      <c r="G231">
        <v>0</v>
      </c>
      <c r="H231">
        <v>0</v>
      </c>
      <c r="I231">
        <v>242963</v>
      </c>
      <c r="J231">
        <v>13</v>
      </c>
      <c r="L231" t="s">
        <v>15</v>
      </c>
    </row>
    <row r="232" spans="1:12" x14ac:dyDescent="0.35">
      <c r="A232">
        <v>1122</v>
      </c>
      <c r="B232">
        <v>0</v>
      </c>
      <c r="C232">
        <v>2</v>
      </c>
      <c r="D232" t="s">
        <v>349</v>
      </c>
      <c r="E232" t="s">
        <v>11</v>
      </c>
      <c r="F232">
        <v>14</v>
      </c>
      <c r="G232">
        <v>0</v>
      </c>
      <c r="H232">
        <v>0</v>
      </c>
      <c r="I232">
        <v>220845</v>
      </c>
      <c r="J232">
        <v>65</v>
      </c>
      <c r="L232" t="s">
        <v>15</v>
      </c>
    </row>
    <row r="233" spans="1:12" x14ac:dyDescent="0.35">
      <c r="A233">
        <v>1123</v>
      </c>
      <c r="B233">
        <v>1</v>
      </c>
      <c r="C233">
        <v>1</v>
      </c>
      <c r="D233" t="s">
        <v>350</v>
      </c>
      <c r="E233" t="s">
        <v>14</v>
      </c>
      <c r="F233">
        <v>21</v>
      </c>
      <c r="G233">
        <v>0</v>
      </c>
      <c r="H233">
        <v>0</v>
      </c>
      <c r="I233">
        <v>113795</v>
      </c>
      <c r="J233">
        <v>26.55</v>
      </c>
      <c r="L233" t="s">
        <v>15</v>
      </c>
    </row>
    <row r="234" spans="1:12" x14ac:dyDescent="0.35">
      <c r="A234">
        <v>1124</v>
      </c>
      <c r="B234">
        <v>0</v>
      </c>
      <c r="C234">
        <v>3</v>
      </c>
      <c r="D234" t="s">
        <v>351</v>
      </c>
      <c r="E234" t="s">
        <v>11</v>
      </c>
      <c r="F234">
        <v>21</v>
      </c>
      <c r="G234">
        <v>1</v>
      </c>
      <c r="H234">
        <v>0</v>
      </c>
      <c r="I234">
        <v>3101266</v>
      </c>
      <c r="J234">
        <v>6.4958</v>
      </c>
      <c r="L234" t="s">
        <v>15</v>
      </c>
    </row>
    <row r="235" spans="1:12" x14ac:dyDescent="0.35">
      <c r="A235">
        <v>1125</v>
      </c>
      <c r="B235">
        <v>0</v>
      </c>
      <c r="C235">
        <v>3</v>
      </c>
      <c r="D235" t="s">
        <v>352</v>
      </c>
      <c r="E235" t="s">
        <v>11</v>
      </c>
      <c r="G235">
        <v>0</v>
      </c>
      <c r="H235">
        <v>0</v>
      </c>
      <c r="I235">
        <v>330971</v>
      </c>
      <c r="J235">
        <v>7.8792</v>
      </c>
      <c r="L235" t="s">
        <v>12</v>
      </c>
    </row>
    <row r="236" spans="1:12" x14ac:dyDescent="0.35">
      <c r="A236">
        <v>1126</v>
      </c>
      <c r="B236">
        <v>0</v>
      </c>
      <c r="C236">
        <v>1</v>
      </c>
      <c r="D236" t="s">
        <v>353</v>
      </c>
      <c r="E236" t="s">
        <v>11</v>
      </c>
      <c r="F236">
        <v>39</v>
      </c>
      <c r="G236">
        <v>1</v>
      </c>
      <c r="H236">
        <v>0</v>
      </c>
      <c r="I236" t="s">
        <v>354</v>
      </c>
      <c r="J236">
        <v>71.283299999999997</v>
      </c>
      <c r="K236" t="s">
        <v>355</v>
      </c>
      <c r="L236" t="s">
        <v>23</v>
      </c>
    </row>
    <row r="237" spans="1:12" x14ac:dyDescent="0.35">
      <c r="A237">
        <v>1127</v>
      </c>
      <c r="B237">
        <v>0</v>
      </c>
      <c r="C237">
        <v>3</v>
      </c>
      <c r="D237" t="s">
        <v>356</v>
      </c>
      <c r="E237" t="s">
        <v>11</v>
      </c>
      <c r="F237">
        <v>20</v>
      </c>
      <c r="G237">
        <v>0</v>
      </c>
      <c r="H237">
        <v>0</v>
      </c>
      <c r="I237">
        <v>350416</v>
      </c>
      <c r="J237">
        <v>7.8541999999999996</v>
      </c>
      <c r="L237" t="s">
        <v>15</v>
      </c>
    </row>
    <row r="238" spans="1:12" x14ac:dyDescent="0.35">
      <c r="A238">
        <v>1128</v>
      </c>
      <c r="B238">
        <v>0</v>
      </c>
      <c r="C238">
        <v>1</v>
      </c>
      <c r="D238" t="s">
        <v>357</v>
      </c>
      <c r="E238" t="s">
        <v>11</v>
      </c>
      <c r="F238">
        <v>64</v>
      </c>
      <c r="G238">
        <v>1</v>
      </c>
      <c r="H238">
        <v>0</v>
      </c>
      <c r="I238">
        <v>110813</v>
      </c>
      <c r="J238">
        <v>75.25</v>
      </c>
      <c r="K238" t="s">
        <v>358</v>
      </c>
      <c r="L238" t="s">
        <v>23</v>
      </c>
    </row>
    <row r="239" spans="1:12" x14ac:dyDescent="0.35">
      <c r="A239">
        <v>1129</v>
      </c>
      <c r="B239">
        <v>0</v>
      </c>
      <c r="C239">
        <v>3</v>
      </c>
      <c r="D239" t="s">
        <v>359</v>
      </c>
      <c r="E239" t="s">
        <v>11</v>
      </c>
      <c r="F239">
        <v>20</v>
      </c>
      <c r="G239">
        <v>0</v>
      </c>
      <c r="H239">
        <v>0</v>
      </c>
      <c r="I239">
        <v>2679</v>
      </c>
      <c r="J239">
        <v>7.2249999999999996</v>
      </c>
      <c r="L239" t="s">
        <v>23</v>
      </c>
    </row>
    <row r="240" spans="1:12" x14ac:dyDescent="0.35">
      <c r="A240">
        <v>1130</v>
      </c>
      <c r="B240">
        <v>1</v>
      </c>
      <c r="C240">
        <v>2</v>
      </c>
      <c r="D240" t="s">
        <v>360</v>
      </c>
      <c r="E240" t="s">
        <v>14</v>
      </c>
      <c r="F240">
        <v>18</v>
      </c>
      <c r="G240">
        <v>1</v>
      </c>
      <c r="H240">
        <v>1</v>
      </c>
      <c r="I240">
        <v>250650</v>
      </c>
      <c r="J240">
        <v>13</v>
      </c>
      <c r="L240" t="s">
        <v>15</v>
      </c>
    </row>
    <row r="241" spans="1:12" x14ac:dyDescent="0.35">
      <c r="A241">
        <v>1131</v>
      </c>
      <c r="B241">
        <v>1</v>
      </c>
      <c r="C241">
        <v>1</v>
      </c>
      <c r="D241" t="s">
        <v>361</v>
      </c>
      <c r="E241" t="s">
        <v>14</v>
      </c>
      <c r="F241">
        <v>48</v>
      </c>
      <c r="G241">
        <v>1</v>
      </c>
      <c r="H241">
        <v>0</v>
      </c>
      <c r="I241" t="s">
        <v>362</v>
      </c>
      <c r="J241">
        <v>106.425</v>
      </c>
      <c r="K241" t="s">
        <v>363</v>
      </c>
      <c r="L241" t="s">
        <v>23</v>
      </c>
    </row>
    <row r="242" spans="1:12" x14ac:dyDescent="0.35">
      <c r="A242">
        <v>1132</v>
      </c>
      <c r="B242">
        <v>1</v>
      </c>
      <c r="C242">
        <v>1</v>
      </c>
      <c r="D242" t="s">
        <v>364</v>
      </c>
      <c r="E242" t="s">
        <v>14</v>
      </c>
      <c r="F242">
        <v>55</v>
      </c>
      <c r="G242">
        <v>0</v>
      </c>
      <c r="H242">
        <v>0</v>
      </c>
      <c r="I242">
        <v>112377</v>
      </c>
      <c r="J242">
        <v>27.720800000000001</v>
      </c>
      <c r="L242" t="s">
        <v>23</v>
      </c>
    </row>
    <row r="243" spans="1:12" x14ac:dyDescent="0.35">
      <c r="A243">
        <v>1133</v>
      </c>
      <c r="B243">
        <v>1</v>
      </c>
      <c r="C243">
        <v>2</v>
      </c>
      <c r="D243" t="s">
        <v>365</v>
      </c>
      <c r="E243" t="s">
        <v>14</v>
      </c>
      <c r="F243">
        <v>45</v>
      </c>
      <c r="G243">
        <v>0</v>
      </c>
      <c r="H243">
        <v>2</v>
      </c>
      <c r="I243">
        <v>237789</v>
      </c>
      <c r="J243">
        <v>30</v>
      </c>
      <c r="L243" t="s">
        <v>15</v>
      </c>
    </row>
    <row r="244" spans="1:12" x14ac:dyDescent="0.35">
      <c r="A244">
        <v>1134</v>
      </c>
      <c r="B244">
        <v>0</v>
      </c>
      <c r="C244">
        <v>1</v>
      </c>
      <c r="D244" t="s">
        <v>366</v>
      </c>
      <c r="E244" t="s">
        <v>11</v>
      </c>
      <c r="F244">
        <v>45</v>
      </c>
      <c r="G244">
        <v>1</v>
      </c>
      <c r="H244">
        <v>1</v>
      </c>
      <c r="I244">
        <v>16966</v>
      </c>
      <c r="J244">
        <v>134.5</v>
      </c>
      <c r="K244" t="s">
        <v>299</v>
      </c>
      <c r="L244" t="s">
        <v>23</v>
      </c>
    </row>
    <row r="245" spans="1:12" x14ac:dyDescent="0.35">
      <c r="A245">
        <v>1135</v>
      </c>
      <c r="B245">
        <v>0</v>
      </c>
      <c r="C245">
        <v>3</v>
      </c>
      <c r="D245" t="s">
        <v>367</v>
      </c>
      <c r="E245" t="s">
        <v>11</v>
      </c>
      <c r="G245">
        <v>0</v>
      </c>
      <c r="H245">
        <v>0</v>
      </c>
      <c r="I245">
        <v>3470</v>
      </c>
      <c r="J245">
        <v>7.8875000000000002</v>
      </c>
      <c r="L245" t="s">
        <v>15</v>
      </c>
    </row>
    <row r="246" spans="1:12" x14ac:dyDescent="0.35">
      <c r="A246">
        <v>1136</v>
      </c>
      <c r="B246">
        <v>0</v>
      </c>
      <c r="C246">
        <v>3</v>
      </c>
      <c r="D246" t="s">
        <v>368</v>
      </c>
      <c r="E246" t="s">
        <v>11</v>
      </c>
      <c r="G246">
        <v>1</v>
      </c>
      <c r="H246">
        <v>2</v>
      </c>
      <c r="I246" t="s">
        <v>67</v>
      </c>
      <c r="J246">
        <v>23.45</v>
      </c>
      <c r="L246" t="s">
        <v>15</v>
      </c>
    </row>
    <row r="247" spans="1:12" x14ac:dyDescent="0.35">
      <c r="A247">
        <v>1137</v>
      </c>
      <c r="B247">
        <v>0</v>
      </c>
      <c r="C247">
        <v>1</v>
      </c>
      <c r="D247" t="s">
        <v>369</v>
      </c>
      <c r="E247" t="s">
        <v>11</v>
      </c>
      <c r="F247">
        <v>41</v>
      </c>
      <c r="G247">
        <v>1</v>
      </c>
      <c r="H247">
        <v>0</v>
      </c>
      <c r="I247">
        <v>17464</v>
      </c>
      <c r="J247">
        <v>51.862499999999997</v>
      </c>
      <c r="K247" t="s">
        <v>370</v>
      </c>
      <c r="L247" t="s">
        <v>15</v>
      </c>
    </row>
    <row r="248" spans="1:12" x14ac:dyDescent="0.35">
      <c r="A248">
        <v>1138</v>
      </c>
      <c r="B248">
        <v>1</v>
      </c>
      <c r="C248">
        <v>2</v>
      </c>
      <c r="D248" t="s">
        <v>371</v>
      </c>
      <c r="E248" t="s">
        <v>14</v>
      </c>
      <c r="F248">
        <v>22</v>
      </c>
      <c r="G248">
        <v>0</v>
      </c>
      <c r="H248">
        <v>0</v>
      </c>
      <c r="I248" t="s">
        <v>115</v>
      </c>
      <c r="J248">
        <v>21</v>
      </c>
      <c r="L248" t="s">
        <v>15</v>
      </c>
    </row>
    <row r="249" spans="1:12" x14ac:dyDescent="0.35">
      <c r="A249">
        <v>1139</v>
      </c>
      <c r="B249">
        <v>0</v>
      </c>
      <c r="C249">
        <v>2</v>
      </c>
      <c r="D249" t="s">
        <v>372</v>
      </c>
      <c r="E249" t="s">
        <v>11</v>
      </c>
      <c r="F249">
        <v>42</v>
      </c>
      <c r="G249">
        <v>1</v>
      </c>
      <c r="H249">
        <v>1</v>
      </c>
      <c r="I249">
        <v>28220</v>
      </c>
      <c r="J249">
        <v>32.5</v>
      </c>
      <c r="L249" t="s">
        <v>15</v>
      </c>
    </row>
    <row r="250" spans="1:12" x14ac:dyDescent="0.35">
      <c r="A250">
        <v>1140</v>
      </c>
      <c r="B250">
        <v>1</v>
      </c>
      <c r="C250">
        <v>2</v>
      </c>
      <c r="D250" t="s">
        <v>373</v>
      </c>
      <c r="E250" t="s">
        <v>14</v>
      </c>
      <c r="F250">
        <v>29</v>
      </c>
      <c r="G250">
        <v>1</v>
      </c>
      <c r="H250">
        <v>0</v>
      </c>
      <c r="I250">
        <v>26707</v>
      </c>
      <c r="J250">
        <v>26</v>
      </c>
      <c r="L250" t="s">
        <v>15</v>
      </c>
    </row>
    <row r="251" spans="1:12" x14ac:dyDescent="0.35">
      <c r="A251">
        <v>1141</v>
      </c>
      <c r="B251">
        <v>1</v>
      </c>
      <c r="C251">
        <v>3</v>
      </c>
      <c r="D251" t="s">
        <v>374</v>
      </c>
      <c r="E251" t="s">
        <v>14</v>
      </c>
      <c r="G251">
        <v>1</v>
      </c>
      <c r="H251">
        <v>0</v>
      </c>
      <c r="I251">
        <v>2660</v>
      </c>
      <c r="J251">
        <v>14.4542</v>
      </c>
      <c r="L251" t="s">
        <v>23</v>
      </c>
    </row>
    <row r="252" spans="1:12" x14ac:dyDescent="0.35">
      <c r="A252">
        <v>1142</v>
      </c>
      <c r="B252">
        <v>1</v>
      </c>
      <c r="C252">
        <v>2</v>
      </c>
      <c r="D252" t="s">
        <v>375</v>
      </c>
      <c r="E252" t="s">
        <v>14</v>
      </c>
      <c r="F252">
        <v>0.92</v>
      </c>
      <c r="G252">
        <v>1</v>
      </c>
      <c r="H252">
        <v>2</v>
      </c>
      <c r="I252" t="s">
        <v>376</v>
      </c>
      <c r="J252">
        <v>27.75</v>
      </c>
      <c r="L252" t="s">
        <v>15</v>
      </c>
    </row>
    <row r="253" spans="1:12" x14ac:dyDescent="0.35">
      <c r="A253">
        <v>1143</v>
      </c>
      <c r="B253">
        <v>0</v>
      </c>
      <c r="C253">
        <v>3</v>
      </c>
      <c r="D253" t="s">
        <v>377</v>
      </c>
      <c r="E253" t="s">
        <v>11</v>
      </c>
      <c r="F253">
        <v>20</v>
      </c>
      <c r="G253">
        <v>0</v>
      </c>
      <c r="H253">
        <v>0</v>
      </c>
      <c r="I253" t="s">
        <v>378</v>
      </c>
      <c r="J253">
        <v>7.9249999999999998</v>
      </c>
      <c r="L253" t="s">
        <v>15</v>
      </c>
    </row>
    <row r="254" spans="1:12" x14ac:dyDescent="0.35">
      <c r="A254">
        <v>1144</v>
      </c>
      <c r="B254">
        <v>0</v>
      </c>
      <c r="C254">
        <v>1</v>
      </c>
      <c r="D254" t="s">
        <v>379</v>
      </c>
      <c r="E254" t="s">
        <v>11</v>
      </c>
      <c r="F254">
        <v>27</v>
      </c>
      <c r="G254">
        <v>1</v>
      </c>
      <c r="H254">
        <v>0</v>
      </c>
      <c r="I254">
        <v>13508</v>
      </c>
      <c r="J254">
        <v>136.7792</v>
      </c>
      <c r="K254" t="s">
        <v>380</v>
      </c>
      <c r="L254" t="s">
        <v>23</v>
      </c>
    </row>
    <row r="255" spans="1:12" x14ac:dyDescent="0.35">
      <c r="A255">
        <v>1145</v>
      </c>
      <c r="B255">
        <v>0</v>
      </c>
      <c r="C255">
        <v>3</v>
      </c>
      <c r="D255" t="s">
        <v>381</v>
      </c>
      <c r="E255" t="s">
        <v>11</v>
      </c>
      <c r="F255">
        <v>24</v>
      </c>
      <c r="G255">
        <v>0</v>
      </c>
      <c r="H255">
        <v>0</v>
      </c>
      <c r="I255">
        <v>7266</v>
      </c>
      <c r="J255">
        <v>9.3249999999999993</v>
      </c>
      <c r="L255" t="s">
        <v>15</v>
      </c>
    </row>
    <row r="256" spans="1:12" x14ac:dyDescent="0.35">
      <c r="A256">
        <v>1146</v>
      </c>
      <c r="B256">
        <v>0</v>
      </c>
      <c r="C256">
        <v>3</v>
      </c>
      <c r="D256" t="s">
        <v>382</v>
      </c>
      <c r="E256" t="s">
        <v>11</v>
      </c>
      <c r="F256">
        <v>32.5</v>
      </c>
      <c r="G256">
        <v>0</v>
      </c>
      <c r="H256">
        <v>0</v>
      </c>
      <c r="I256">
        <v>345775</v>
      </c>
      <c r="J256">
        <v>9.5</v>
      </c>
      <c r="L256" t="s">
        <v>15</v>
      </c>
    </row>
    <row r="257" spans="1:12" x14ac:dyDescent="0.35">
      <c r="A257">
        <v>1147</v>
      </c>
      <c r="B257">
        <v>0</v>
      </c>
      <c r="C257">
        <v>3</v>
      </c>
      <c r="D257" t="s">
        <v>383</v>
      </c>
      <c r="E257" t="s">
        <v>11</v>
      </c>
      <c r="G257">
        <v>0</v>
      </c>
      <c r="H257">
        <v>0</v>
      </c>
      <c r="I257" t="s">
        <v>384</v>
      </c>
      <c r="J257">
        <v>7.55</v>
      </c>
      <c r="L257" t="s">
        <v>15</v>
      </c>
    </row>
    <row r="258" spans="1:12" x14ac:dyDescent="0.35">
      <c r="A258">
        <v>1148</v>
      </c>
      <c r="B258">
        <v>0</v>
      </c>
      <c r="C258">
        <v>3</v>
      </c>
      <c r="D258" t="s">
        <v>385</v>
      </c>
      <c r="E258" t="s">
        <v>11</v>
      </c>
      <c r="G258">
        <v>0</v>
      </c>
      <c r="H258">
        <v>0</v>
      </c>
      <c r="I258" t="s">
        <v>386</v>
      </c>
      <c r="J258">
        <v>7.75</v>
      </c>
      <c r="L258" t="s">
        <v>12</v>
      </c>
    </row>
    <row r="259" spans="1:12" x14ac:dyDescent="0.35">
      <c r="A259">
        <v>1149</v>
      </c>
      <c r="B259">
        <v>0</v>
      </c>
      <c r="C259">
        <v>3</v>
      </c>
      <c r="D259" t="s">
        <v>387</v>
      </c>
      <c r="E259" t="s">
        <v>11</v>
      </c>
      <c r="F259">
        <v>28</v>
      </c>
      <c r="G259">
        <v>0</v>
      </c>
      <c r="H259">
        <v>0</v>
      </c>
      <c r="I259">
        <v>363611</v>
      </c>
      <c r="J259">
        <v>8.0500000000000007</v>
      </c>
      <c r="L259" t="s">
        <v>15</v>
      </c>
    </row>
    <row r="260" spans="1:12" x14ac:dyDescent="0.35">
      <c r="A260">
        <v>1150</v>
      </c>
      <c r="B260">
        <v>1</v>
      </c>
      <c r="C260">
        <v>2</v>
      </c>
      <c r="D260" t="s">
        <v>388</v>
      </c>
      <c r="E260" t="s">
        <v>14</v>
      </c>
      <c r="F260">
        <v>19</v>
      </c>
      <c r="G260">
        <v>0</v>
      </c>
      <c r="H260">
        <v>0</v>
      </c>
      <c r="I260">
        <v>28404</v>
      </c>
      <c r="J260">
        <v>13</v>
      </c>
      <c r="L260" t="s">
        <v>15</v>
      </c>
    </row>
    <row r="261" spans="1:12" x14ac:dyDescent="0.35">
      <c r="A261">
        <v>1151</v>
      </c>
      <c r="B261">
        <v>0</v>
      </c>
      <c r="C261">
        <v>3</v>
      </c>
      <c r="D261" t="s">
        <v>389</v>
      </c>
      <c r="E261" t="s">
        <v>11</v>
      </c>
      <c r="F261">
        <v>21</v>
      </c>
      <c r="G261">
        <v>0</v>
      </c>
      <c r="H261">
        <v>0</v>
      </c>
      <c r="I261">
        <v>345501</v>
      </c>
      <c r="J261">
        <v>7.7750000000000004</v>
      </c>
      <c r="L261" t="s">
        <v>15</v>
      </c>
    </row>
    <row r="262" spans="1:12" x14ac:dyDescent="0.35">
      <c r="A262">
        <v>1152</v>
      </c>
      <c r="B262">
        <v>0</v>
      </c>
      <c r="C262">
        <v>3</v>
      </c>
      <c r="D262" t="s">
        <v>390</v>
      </c>
      <c r="E262" t="s">
        <v>11</v>
      </c>
      <c r="F262">
        <v>36.5</v>
      </c>
      <c r="G262">
        <v>1</v>
      </c>
      <c r="H262">
        <v>0</v>
      </c>
      <c r="I262">
        <v>345572</v>
      </c>
      <c r="J262">
        <v>17.399999999999999</v>
      </c>
      <c r="L262" t="s">
        <v>15</v>
      </c>
    </row>
    <row r="263" spans="1:12" x14ac:dyDescent="0.35">
      <c r="A263">
        <v>1153</v>
      </c>
      <c r="B263">
        <v>0</v>
      </c>
      <c r="C263">
        <v>3</v>
      </c>
      <c r="D263" t="s">
        <v>391</v>
      </c>
      <c r="E263" t="s">
        <v>11</v>
      </c>
      <c r="F263">
        <v>21</v>
      </c>
      <c r="G263">
        <v>0</v>
      </c>
      <c r="H263">
        <v>0</v>
      </c>
      <c r="I263">
        <v>350410</v>
      </c>
      <c r="J263">
        <v>7.8541999999999996</v>
      </c>
      <c r="L263" t="s">
        <v>15</v>
      </c>
    </row>
    <row r="264" spans="1:12" x14ac:dyDescent="0.35">
      <c r="A264">
        <v>1154</v>
      </c>
      <c r="B264">
        <v>1</v>
      </c>
      <c r="C264">
        <v>2</v>
      </c>
      <c r="D264" t="s">
        <v>392</v>
      </c>
      <c r="E264" t="s">
        <v>14</v>
      </c>
      <c r="F264">
        <v>29</v>
      </c>
      <c r="G264">
        <v>0</v>
      </c>
      <c r="H264">
        <v>2</v>
      </c>
      <c r="I264">
        <v>29103</v>
      </c>
      <c r="J264">
        <v>23</v>
      </c>
      <c r="L264" t="s">
        <v>15</v>
      </c>
    </row>
    <row r="265" spans="1:12" x14ac:dyDescent="0.35">
      <c r="A265">
        <v>1155</v>
      </c>
      <c r="B265">
        <v>1</v>
      </c>
      <c r="C265">
        <v>3</v>
      </c>
      <c r="D265" t="s">
        <v>393</v>
      </c>
      <c r="E265" t="s">
        <v>14</v>
      </c>
      <c r="F265">
        <v>1</v>
      </c>
      <c r="G265">
        <v>1</v>
      </c>
      <c r="H265">
        <v>1</v>
      </c>
      <c r="I265">
        <v>350405</v>
      </c>
      <c r="J265">
        <v>12.183299999999999</v>
      </c>
      <c r="L265" t="s">
        <v>15</v>
      </c>
    </row>
    <row r="266" spans="1:12" x14ac:dyDescent="0.35">
      <c r="A266">
        <v>1156</v>
      </c>
      <c r="B266">
        <v>0</v>
      </c>
      <c r="C266">
        <v>2</v>
      </c>
      <c r="D266" t="s">
        <v>394</v>
      </c>
      <c r="E266" t="s">
        <v>11</v>
      </c>
      <c r="F266">
        <v>30</v>
      </c>
      <c r="G266">
        <v>0</v>
      </c>
      <c r="H266">
        <v>0</v>
      </c>
      <c r="I266" t="s">
        <v>395</v>
      </c>
      <c r="J266">
        <v>12.737500000000001</v>
      </c>
      <c r="L266" t="s">
        <v>23</v>
      </c>
    </row>
    <row r="267" spans="1:12" x14ac:dyDescent="0.35">
      <c r="A267">
        <v>1157</v>
      </c>
      <c r="B267">
        <v>0</v>
      </c>
      <c r="C267">
        <v>3</v>
      </c>
      <c r="D267" t="s">
        <v>396</v>
      </c>
      <c r="E267" t="s">
        <v>11</v>
      </c>
      <c r="G267">
        <v>0</v>
      </c>
      <c r="H267">
        <v>0</v>
      </c>
      <c r="I267">
        <v>349235</v>
      </c>
      <c r="J267">
        <v>7.8958000000000004</v>
      </c>
      <c r="L267" t="s">
        <v>15</v>
      </c>
    </row>
    <row r="268" spans="1:12" x14ac:dyDescent="0.35">
      <c r="A268">
        <v>1158</v>
      </c>
      <c r="B268">
        <v>0</v>
      </c>
      <c r="C268">
        <v>1</v>
      </c>
      <c r="D268" t="s">
        <v>397</v>
      </c>
      <c r="E268" t="s">
        <v>11</v>
      </c>
      <c r="G268">
        <v>0</v>
      </c>
      <c r="H268">
        <v>0</v>
      </c>
      <c r="I268">
        <v>112051</v>
      </c>
      <c r="J268">
        <v>0</v>
      </c>
      <c r="L268" t="s">
        <v>15</v>
      </c>
    </row>
    <row r="269" spans="1:12" x14ac:dyDescent="0.35">
      <c r="A269">
        <v>1159</v>
      </c>
      <c r="B269">
        <v>0</v>
      </c>
      <c r="C269">
        <v>3</v>
      </c>
      <c r="D269" t="s">
        <v>398</v>
      </c>
      <c r="E269" t="s">
        <v>11</v>
      </c>
      <c r="G269">
        <v>0</v>
      </c>
      <c r="H269">
        <v>0</v>
      </c>
      <c r="I269" t="s">
        <v>399</v>
      </c>
      <c r="J269">
        <v>7.55</v>
      </c>
      <c r="L269" t="s">
        <v>15</v>
      </c>
    </row>
    <row r="270" spans="1:12" x14ac:dyDescent="0.35">
      <c r="A270">
        <v>1160</v>
      </c>
      <c r="B270">
        <v>1</v>
      </c>
      <c r="C270">
        <v>3</v>
      </c>
      <c r="D270" t="s">
        <v>400</v>
      </c>
      <c r="E270" t="s">
        <v>14</v>
      </c>
      <c r="G270">
        <v>0</v>
      </c>
      <c r="H270">
        <v>0</v>
      </c>
      <c r="I270" t="s">
        <v>401</v>
      </c>
      <c r="J270">
        <v>8.0500000000000007</v>
      </c>
      <c r="L270" t="s">
        <v>15</v>
      </c>
    </row>
    <row r="271" spans="1:12" x14ac:dyDescent="0.35">
      <c r="A271">
        <v>1161</v>
      </c>
      <c r="B271">
        <v>0</v>
      </c>
      <c r="C271">
        <v>3</v>
      </c>
      <c r="D271" t="s">
        <v>402</v>
      </c>
      <c r="E271" t="s">
        <v>11</v>
      </c>
      <c r="F271">
        <v>17</v>
      </c>
      <c r="G271">
        <v>0</v>
      </c>
      <c r="H271">
        <v>0</v>
      </c>
      <c r="I271">
        <v>315095</v>
      </c>
      <c r="J271">
        <v>8.6624999999999996</v>
      </c>
      <c r="L271" t="s">
        <v>15</v>
      </c>
    </row>
    <row r="272" spans="1:12" x14ac:dyDescent="0.35">
      <c r="A272">
        <v>1162</v>
      </c>
      <c r="B272">
        <v>0</v>
      </c>
      <c r="C272">
        <v>1</v>
      </c>
      <c r="D272" t="s">
        <v>403</v>
      </c>
      <c r="E272" t="s">
        <v>11</v>
      </c>
      <c r="F272">
        <v>46</v>
      </c>
      <c r="G272">
        <v>0</v>
      </c>
      <c r="H272">
        <v>0</v>
      </c>
      <c r="I272">
        <v>13050</v>
      </c>
      <c r="J272">
        <v>75.241699999999994</v>
      </c>
      <c r="K272" t="s">
        <v>190</v>
      </c>
      <c r="L272" t="s">
        <v>23</v>
      </c>
    </row>
    <row r="273" spans="1:12" x14ac:dyDescent="0.35">
      <c r="A273">
        <v>1163</v>
      </c>
      <c r="B273">
        <v>0</v>
      </c>
      <c r="C273">
        <v>3</v>
      </c>
      <c r="D273" t="s">
        <v>404</v>
      </c>
      <c r="E273" t="s">
        <v>11</v>
      </c>
      <c r="G273">
        <v>0</v>
      </c>
      <c r="H273">
        <v>0</v>
      </c>
      <c r="I273">
        <v>368573</v>
      </c>
      <c r="J273">
        <v>7.75</v>
      </c>
      <c r="L273" t="s">
        <v>12</v>
      </c>
    </row>
    <row r="274" spans="1:12" x14ac:dyDescent="0.35">
      <c r="A274">
        <v>1164</v>
      </c>
      <c r="B274">
        <v>1</v>
      </c>
      <c r="C274">
        <v>1</v>
      </c>
      <c r="D274" t="s">
        <v>405</v>
      </c>
      <c r="E274" t="s">
        <v>14</v>
      </c>
      <c r="F274">
        <v>26</v>
      </c>
      <c r="G274">
        <v>1</v>
      </c>
      <c r="H274">
        <v>0</v>
      </c>
      <c r="I274">
        <v>13508</v>
      </c>
      <c r="J274">
        <v>136.7792</v>
      </c>
      <c r="K274" t="s">
        <v>380</v>
      </c>
      <c r="L274" t="s">
        <v>23</v>
      </c>
    </row>
    <row r="275" spans="1:12" x14ac:dyDescent="0.35">
      <c r="A275">
        <v>1165</v>
      </c>
      <c r="B275">
        <v>1</v>
      </c>
      <c r="C275">
        <v>3</v>
      </c>
      <c r="D275" t="s">
        <v>406</v>
      </c>
      <c r="E275" t="s">
        <v>14</v>
      </c>
      <c r="G275">
        <v>1</v>
      </c>
      <c r="H275">
        <v>0</v>
      </c>
      <c r="I275">
        <v>370371</v>
      </c>
      <c r="J275">
        <v>15.5</v>
      </c>
      <c r="L275" t="s">
        <v>12</v>
      </c>
    </row>
    <row r="276" spans="1:12" x14ac:dyDescent="0.35">
      <c r="A276">
        <v>1166</v>
      </c>
      <c r="B276">
        <v>0</v>
      </c>
      <c r="C276">
        <v>3</v>
      </c>
      <c r="D276" t="s">
        <v>407</v>
      </c>
      <c r="E276" t="s">
        <v>11</v>
      </c>
      <c r="G276">
        <v>0</v>
      </c>
      <c r="H276">
        <v>0</v>
      </c>
      <c r="I276">
        <v>2676</v>
      </c>
      <c r="J276">
        <v>7.2249999999999996</v>
      </c>
      <c r="L276" t="s">
        <v>23</v>
      </c>
    </row>
    <row r="277" spans="1:12" x14ac:dyDescent="0.35">
      <c r="A277">
        <v>1167</v>
      </c>
      <c r="B277">
        <v>1</v>
      </c>
      <c r="C277">
        <v>2</v>
      </c>
      <c r="D277" t="s">
        <v>408</v>
      </c>
      <c r="E277" t="s">
        <v>14</v>
      </c>
      <c r="F277">
        <v>20</v>
      </c>
      <c r="G277">
        <v>1</v>
      </c>
      <c r="H277">
        <v>0</v>
      </c>
      <c r="I277">
        <v>236853</v>
      </c>
      <c r="J277">
        <v>26</v>
      </c>
      <c r="L277" t="s">
        <v>15</v>
      </c>
    </row>
    <row r="278" spans="1:12" x14ac:dyDescent="0.35">
      <c r="A278">
        <v>1168</v>
      </c>
      <c r="B278">
        <v>0</v>
      </c>
      <c r="C278">
        <v>2</v>
      </c>
      <c r="D278" t="s">
        <v>409</v>
      </c>
      <c r="E278" t="s">
        <v>11</v>
      </c>
      <c r="F278">
        <v>28</v>
      </c>
      <c r="G278">
        <v>0</v>
      </c>
      <c r="H278">
        <v>0</v>
      </c>
      <c r="I278" t="s">
        <v>410</v>
      </c>
      <c r="J278">
        <v>10.5</v>
      </c>
      <c r="L278" t="s">
        <v>15</v>
      </c>
    </row>
    <row r="279" spans="1:12" x14ac:dyDescent="0.35">
      <c r="A279">
        <v>1169</v>
      </c>
      <c r="B279">
        <v>0</v>
      </c>
      <c r="C279">
        <v>2</v>
      </c>
      <c r="D279" t="s">
        <v>411</v>
      </c>
      <c r="E279" t="s">
        <v>11</v>
      </c>
      <c r="F279">
        <v>40</v>
      </c>
      <c r="G279">
        <v>1</v>
      </c>
      <c r="H279">
        <v>0</v>
      </c>
      <c r="I279">
        <v>2926</v>
      </c>
      <c r="J279">
        <v>26</v>
      </c>
      <c r="L279" t="s">
        <v>15</v>
      </c>
    </row>
    <row r="280" spans="1:12" x14ac:dyDescent="0.35">
      <c r="A280">
        <v>1170</v>
      </c>
      <c r="B280">
        <v>0</v>
      </c>
      <c r="C280">
        <v>2</v>
      </c>
      <c r="D280" t="s">
        <v>412</v>
      </c>
      <c r="E280" t="s">
        <v>11</v>
      </c>
      <c r="F280">
        <v>30</v>
      </c>
      <c r="G280">
        <v>1</v>
      </c>
      <c r="H280">
        <v>0</v>
      </c>
      <c r="I280" t="s">
        <v>413</v>
      </c>
      <c r="J280">
        <v>21</v>
      </c>
      <c r="L280" t="s">
        <v>15</v>
      </c>
    </row>
    <row r="281" spans="1:12" x14ac:dyDescent="0.35">
      <c r="A281">
        <v>1171</v>
      </c>
      <c r="B281">
        <v>0</v>
      </c>
      <c r="C281">
        <v>2</v>
      </c>
      <c r="D281" t="s">
        <v>414</v>
      </c>
      <c r="E281" t="s">
        <v>11</v>
      </c>
      <c r="F281">
        <v>22</v>
      </c>
      <c r="G281">
        <v>0</v>
      </c>
      <c r="H281">
        <v>0</v>
      </c>
      <c r="I281" t="s">
        <v>415</v>
      </c>
      <c r="J281">
        <v>10.5</v>
      </c>
      <c r="L281" t="s">
        <v>15</v>
      </c>
    </row>
    <row r="282" spans="1:12" x14ac:dyDescent="0.35">
      <c r="A282">
        <v>1172</v>
      </c>
      <c r="B282">
        <v>1</v>
      </c>
      <c r="C282">
        <v>3</v>
      </c>
      <c r="D282" t="s">
        <v>416</v>
      </c>
      <c r="E282" t="s">
        <v>14</v>
      </c>
      <c r="F282">
        <v>23</v>
      </c>
      <c r="G282">
        <v>0</v>
      </c>
      <c r="H282">
        <v>0</v>
      </c>
      <c r="I282">
        <v>315085</v>
      </c>
      <c r="J282">
        <v>8.6624999999999996</v>
      </c>
      <c r="L282" t="s">
        <v>15</v>
      </c>
    </row>
    <row r="283" spans="1:12" x14ac:dyDescent="0.35">
      <c r="A283">
        <v>1173</v>
      </c>
      <c r="B283">
        <v>0</v>
      </c>
      <c r="C283">
        <v>3</v>
      </c>
      <c r="D283" t="s">
        <v>417</v>
      </c>
      <c r="E283" t="s">
        <v>11</v>
      </c>
      <c r="F283">
        <v>0.75</v>
      </c>
      <c r="G283">
        <v>1</v>
      </c>
      <c r="H283">
        <v>1</v>
      </c>
      <c r="I283" t="s">
        <v>245</v>
      </c>
      <c r="J283">
        <v>13.775</v>
      </c>
      <c r="L283" t="s">
        <v>15</v>
      </c>
    </row>
    <row r="284" spans="1:12" x14ac:dyDescent="0.35">
      <c r="A284">
        <v>1174</v>
      </c>
      <c r="B284">
        <v>1</v>
      </c>
      <c r="C284">
        <v>3</v>
      </c>
      <c r="D284" t="s">
        <v>418</v>
      </c>
      <c r="E284" t="s">
        <v>14</v>
      </c>
      <c r="G284">
        <v>0</v>
      </c>
      <c r="H284">
        <v>0</v>
      </c>
      <c r="I284">
        <v>364859</v>
      </c>
      <c r="J284">
        <v>7.75</v>
      </c>
      <c r="L284" t="s">
        <v>12</v>
      </c>
    </row>
    <row r="285" spans="1:12" x14ac:dyDescent="0.35">
      <c r="A285">
        <v>1175</v>
      </c>
      <c r="B285">
        <v>1</v>
      </c>
      <c r="C285">
        <v>3</v>
      </c>
      <c r="D285" t="s">
        <v>419</v>
      </c>
      <c r="E285" t="s">
        <v>14</v>
      </c>
      <c r="F285">
        <v>9</v>
      </c>
      <c r="G285">
        <v>1</v>
      </c>
      <c r="H285">
        <v>1</v>
      </c>
      <c r="I285">
        <v>2650</v>
      </c>
      <c r="J285">
        <v>15.245799999999999</v>
      </c>
      <c r="L285" t="s">
        <v>23</v>
      </c>
    </row>
    <row r="286" spans="1:12" x14ac:dyDescent="0.35">
      <c r="A286">
        <v>1176</v>
      </c>
      <c r="B286">
        <v>1</v>
      </c>
      <c r="C286">
        <v>3</v>
      </c>
      <c r="D286" t="s">
        <v>420</v>
      </c>
      <c r="E286" t="s">
        <v>14</v>
      </c>
      <c r="F286">
        <v>2</v>
      </c>
      <c r="G286">
        <v>1</v>
      </c>
      <c r="H286">
        <v>1</v>
      </c>
      <c r="I286">
        <v>370129</v>
      </c>
      <c r="J286">
        <v>20.212499999999999</v>
      </c>
      <c r="L286" t="s">
        <v>15</v>
      </c>
    </row>
    <row r="287" spans="1:12" x14ac:dyDescent="0.35">
      <c r="A287">
        <v>1177</v>
      </c>
      <c r="B287">
        <v>0</v>
      </c>
      <c r="C287">
        <v>3</v>
      </c>
      <c r="D287" t="s">
        <v>421</v>
      </c>
      <c r="E287" t="s">
        <v>11</v>
      </c>
      <c r="F287">
        <v>36</v>
      </c>
      <c r="G287">
        <v>0</v>
      </c>
      <c r="H287">
        <v>0</v>
      </c>
      <c r="I287" t="s">
        <v>422</v>
      </c>
      <c r="J287">
        <v>7.25</v>
      </c>
      <c r="L287" t="s">
        <v>15</v>
      </c>
    </row>
    <row r="288" spans="1:12" x14ac:dyDescent="0.35">
      <c r="A288">
        <v>1178</v>
      </c>
      <c r="B288">
        <v>0</v>
      </c>
      <c r="C288">
        <v>3</v>
      </c>
      <c r="D288" t="s">
        <v>423</v>
      </c>
      <c r="E288" t="s">
        <v>11</v>
      </c>
      <c r="G288">
        <v>0</v>
      </c>
      <c r="H288">
        <v>0</v>
      </c>
      <c r="I288" t="s">
        <v>424</v>
      </c>
      <c r="J288">
        <v>7.25</v>
      </c>
      <c r="L288" t="s">
        <v>15</v>
      </c>
    </row>
    <row r="289" spans="1:12" x14ac:dyDescent="0.35">
      <c r="A289">
        <v>1179</v>
      </c>
      <c r="B289">
        <v>0</v>
      </c>
      <c r="C289">
        <v>1</v>
      </c>
      <c r="D289" t="s">
        <v>425</v>
      </c>
      <c r="E289" t="s">
        <v>11</v>
      </c>
      <c r="F289">
        <v>24</v>
      </c>
      <c r="G289">
        <v>1</v>
      </c>
      <c r="H289">
        <v>0</v>
      </c>
      <c r="I289">
        <v>21228</v>
      </c>
      <c r="J289">
        <v>82.2667</v>
      </c>
      <c r="K289" t="s">
        <v>29</v>
      </c>
      <c r="L289" t="s">
        <v>15</v>
      </c>
    </row>
    <row r="290" spans="1:12" x14ac:dyDescent="0.35">
      <c r="A290">
        <v>1180</v>
      </c>
      <c r="B290">
        <v>0</v>
      </c>
      <c r="C290">
        <v>3</v>
      </c>
      <c r="D290" t="s">
        <v>426</v>
      </c>
      <c r="E290" t="s">
        <v>11</v>
      </c>
      <c r="G290">
        <v>0</v>
      </c>
      <c r="H290">
        <v>0</v>
      </c>
      <c r="I290">
        <v>2655</v>
      </c>
      <c r="J290">
        <v>7.2291999999999996</v>
      </c>
      <c r="K290" t="s">
        <v>427</v>
      </c>
      <c r="L290" t="s">
        <v>23</v>
      </c>
    </row>
    <row r="291" spans="1:12" x14ac:dyDescent="0.35">
      <c r="A291">
        <v>1181</v>
      </c>
      <c r="B291">
        <v>0</v>
      </c>
      <c r="C291">
        <v>3</v>
      </c>
      <c r="D291" t="s">
        <v>428</v>
      </c>
      <c r="E291" t="s">
        <v>11</v>
      </c>
      <c r="G291">
        <v>0</v>
      </c>
      <c r="H291">
        <v>0</v>
      </c>
      <c r="I291" t="s">
        <v>429</v>
      </c>
      <c r="J291">
        <v>8.0500000000000007</v>
      </c>
      <c r="L291" t="s">
        <v>15</v>
      </c>
    </row>
    <row r="292" spans="1:12" x14ac:dyDescent="0.35">
      <c r="A292">
        <v>1182</v>
      </c>
      <c r="B292">
        <v>0</v>
      </c>
      <c r="C292">
        <v>1</v>
      </c>
      <c r="D292" t="s">
        <v>430</v>
      </c>
      <c r="E292" t="s">
        <v>11</v>
      </c>
      <c r="G292">
        <v>0</v>
      </c>
      <c r="H292">
        <v>0</v>
      </c>
      <c r="I292" t="s">
        <v>431</v>
      </c>
      <c r="J292">
        <v>39.6</v>
      </c>
      <c r="L292" t="s">
        <v>15</v>
      </c>
    </row>
    <row r="293" spans="1:12" x14ac:dyDescent="0.35">
      <c r="A293">
        <v>1183</v>
      </c>
      <c r="B293">
        <v>1</v>
      </c>
      <c r="C293">
        <v>3</v>
      </c>
      <c r="D293" t="s">
        <v>432</v>
      </c>
      <c r="E293" t="s">
        <v>14</v>
      </c>
      <c r="F293">
        <v>30</v>
      </c>
      <c r="G293">
        <v>0</v>
      </c>
      <c r="H293">
        <v>0</v>
      </c>
      <c r="I293">
        <v>382650</v>
      </c>
      <c r="J293">
        <v>6.95</v>
      </c>
      <c r="L293" t="s">
        <v>12</v>
      </c>
    </row>
    <row r="294" spans="1:12" x14ac:dyDescent="0.35">
      <c r="A294">
        <v>1184</v>
      </c>
      <c r="B294">
        <v>0</v>
      </c>
      <c r="C294">
        <v>3</v>
      </c>
      <c r="D294" t="s">
        <v>433</v>
      </c>
      <c r="E294" t="s">
        <v>11</v>
      </c>
      <c r="G294">
        <v>0</v>
      </c>
      <c r="H294">
        <v>0</v>
      </c>
      <c r="I294">
        <v>2652</v>
      </c>
      <c r="J294">
        <v>7.2291999999999996</v>
      </c>
      <c r="L294" t="s">
        <v>23</v>
      </c>
    </row>
    <row r="295" spans="1:12" x14ac:dyDescent="0.35">
      <c r="A295">
        <v>1185</v>
      </c>
      <c r="B295">
        <v>0</v>
      </c>
      <c r="C295">
        <v>1</v>
      </c>
      <c r="D295" t="s">
        <v>434</v>
      </c>
      <c r="E295" t="s">
        <v>11</v>
      </c>
      <c r="F295">
        <v>53</v>
      </c>
      <c r="G295">
        <v>1</v>
      </c>
      <c r="H295">
        <v>1</v>
      </c>
      <c r="I295">
        <v>33638</v>
      </c>
      <c r="J295">
        <v>81.8583</v>
      </c>
      <c r="K295" t="s">
        <v>435</v>
      </c>
      <c r="L295" t="s">
        <v>15</v>
      </c>
    </row>
    <row r="296" spans="1:12" x14ac:dyDescent="0.35">
      <c r="A296">
        <v>1186</v>
      </c>
      <c r="B296">
        <v>0</v>
      </c>
      <c r="C296">
        <v>3</v>
      </c>
      <c r="D296" t="s">
        <v>436</v>
      </c>
      <c r="E296" t="s">
        <v>11</v>
      </c>
      <c r="F296">
        <v>36</v>
      </c>
      <c r="G296">
        <v>0</v>
      </c>
      <c r="H296">
        <v>0</v>
      </c>
      <c r="I296">
        <v>345771</v>
      </c>
      <c r="J296">
        <v>9.5</v>
      </c>
      <c r="L296" t="s">
        <v>15</v>
      </c>
    </row>
    <row r="297" spans="1:12" x14ac:dyDescent="0.35">
      <c r="A297">
        <v>1187</v>
      </c>
      <c r="B297">
        <v>0</v>
      </c>
      <c r="C297">
        <v>3</v>
      </c>
      <c r="D297" t="s">
        <v>437</v>
      </c>
      <c r="E297" t="s">
        <v>11</v>
      </c>
      <c r="F297">
        <v>26</v>
      </c>
      <c r="G297">
        <v>0</v>
      </c>
      <c r="H297">
        <v>0</v>
      </c>
      <c r="I297">
        <v>349202</v>
      </c>
      <c r="J297">
        <v>7.8958000000000004</v>
      </c>
      <c r="L297" t="s">
        <v>15</v>
      </c>
    </row>
    <row r="298" spans="1:12" x14ac:dyDescent="0.35">
      <c r="A298">
        <v>1188</v>
      </c>
      <c r="B298">
        <v>1</v>
      </c>
      <c r="C298">
        <v>2</v>
      </c>
      <c r="D298" t="s">
        <v>438</v>
      </c>
      <c r="E298" t="s">
        <v>14</v>
      </c>
      <c r="F298">
        <v>1</v>
      </c>
      <c r="G298">
        <v>1</v>
      </c>
      <c r="H298">
        <v>2</v>
      </c>
      <c r="I298" t="s">
        <v>439</v>
      </c>
      <c r="J298">
        <v>41.5792</v>
      </c>
      <c r="L298" t="s">
        <v>23</v>
      </c>
    </row>
    <row r="299" spans="1:12" x14ac:dyDescent="0.35">
      <c r="A299">
        <v>1189</v>
      </c>
      <c r="B299">
        <v>0</v>
      </c>
      <c r="C299">
        <v>3</v>
      </c>
      <c r="D299" t="s">
        <v>440</v>
      </c>
      <c r="E299" t="s">
        <v>11</v>
      </c>
      <c r="G299">
        <v>2</v>
      </c>
      <c r="H299">
        <v>0</v>
      </c>
      <c r="I299">
        <v>2662</v>
      </c>
      <c r="J299">
        <v>21.679200000000002</v>
      </c>
      <c r="L299" t="s">
        <v>23</v>
      </c>
    </row>
    <row r="300" spans="1:12" x14ac:dyDescent="0.35">
      <c r="A300">
        <v>1190</v>
      </c>
      <c r="B300">
        <v>0</v>
      </c>
      <c r="C300">
        <v>1</v>
      </c>
      <c r="D300" t="s">
        <v>441</v>
      </c>
      <c r="E300" t="s">
        <v>11</v>
      </c>
      <c r="F300">
        <v>30</v>
      </c>
      <c r="G300">
        <v>0</v>
      </c>
      <c r="H300">
        <v>0</v>
      </c>
      <c r="I300">
        <v>113801</v>
      </c>
      <c r="J300">
        <v>45.5</v>
      </c>
      <c r="L300" t="s">
        <v>15</v>
      </c>
    </row>
    <row r="301" spans="1:12" x14ac:dyDescent="0.35">
      <c r="A301">
        <v>1191</v>
      </c>
      <c r="B301">
        <v>0</v>
      </c>
      <c r="C301">
        <v>3</v>
      </c>
      <c r="D301" t="s">
        <v>442</v>
      </c>
      <c r="E301" t="s">
        <v>11</v>
      </c>
      <c r="F301">
        <v>29</v>
      </c>
      <c r="G301">
        <v>0</v>
      </c>
      <c r="H301">
        <v>0</v>
      </c>
      <c r="I301">
        <v>347467</v>
      </c>
      <c r="J301">
        <v>7.8541999999999996</v>
      </c>
      <c r="L301" t="s">
        <v>15</v>
      </c>
    </row>
    <row r="302" spans="1:12" x14ac:dyDescent="0.35">
      <c r="A302">
        <v>1192</v>
      </c>
      <c r="B302">
        <v>0</v>
      </c>
      <c r="C302">
        <v>3</v>
      </c>
      <c r="D302" t="s">
        <v>443</v>
      </c>
      <c r="E302" t="s">
        <v>11</v>
      </c>
      <c r="F302">
        <v>32</v>
      </c>
      <c r="G302">
        <v>0</v>
      </c>
      <c r="H302">
        <v>0</v>
      </c>
      <c r="I302">
        <v>347079</v>
      </c>
      <c r="J302">
        <v>7.7750000000000004</v>
      </c>
      <c r="L302" t="s">
        <v>15</v>
      </c>
    </row>
    <row r="303" spans="1:12" x14ac:dyDescent="0.35">
      <c r="A303">
        <v>1193</v>
      </c>
      <c r="B303">
        <v>0</v>
      </c>
      <c r="C303">
        <v>2</v>
      </c>
      <c r="D303" t="s">
        <v>444</v>
      </c>
      <c r="E303" t="s">
        <v>11</v>
      </c>
      <c r="G303">
        <v>0</v>
      </c>
      <c r="H303">
        <v>0</v>
      </c>
      <c r="I303">
        <v>237735</v>
      </c>
      <c r="J303">
        <v>15.0458</v>
      </c>
      <c r="K303" t="s">
        <v>445</v>
      </c>
      <c r="L303" t="s">
        <v>23</v>
      </c>
    </row>
    <row r="304" spans="1:12" x14ac:dyDescent="0.35">
      <c r="A304">
        <v>1194</v>
      </c>
      <c r="B304">
        <v>0</v>
      </c>
      <c r="C304">
        <v>2</v>
      </c>
      <c r="D304" t="s">
        <v>446</v>
      </c>
      <c r="E304" t="s">
        <v>11</v>
      </c>
      <c r="F304">
        <v>43</v>
      </c>
      <c r="G304">
        <v>0</v>
      </c>
      <c r="H304">
        <v>1</v>
      </c>
      <c r="I304" t="s">
        <v>285</v>
      </c>
      <c r="J304">
        <v>21</v>
      </c>
      <c r="L304" t="s">
        <v>15</v>
      </c>
    </row>
    <row r="305" spans="1:12" x14ac:dyDescent="0.35">
      <c r="A305">
        <v>1195</v>
      </c>
      <c r="B305">
        <v>0</v>
      </c>
      <c r="C305">
        <v>3</v>
      </c>
      <c r="D305" t="s">
        <v>447</v>
      </c>
      <c r="E305" t="s">
        <v>11</v>
      </c>
      <c r="F305">
        <v>24</v>
      </c>
      <c r="G305">
        <v>0</v>
      </c>
      <c r="H305">
        <v>0</v>
      </c>
      <c r="I305">
        <v>315092</v>
      </c>
      <c r="J305">
        <v>8.6624999999999996</v>
      </c>
      <c r="L305" t="s">
        <v>15</v>
      </c>
    </row>
    <row r="306" spans="1:12" x14ac:dyDescent="0.35">
      <c r="A306">
        <v>1196</v>
      </c>
      <c r="B306">
        <v>1</v>
      </c>
      <c r="C306">
        <v>3</v>
      </c>
      <c r="D306" t="s">
        <v>448</v>
      </c>
      <c r="E306" t="s">
        <v>14</v>
      </c>
      <c r="G306">
        <v>0</v>
      </c>
      <c r="H306">
        <v>0</v>
      </c>
      <c r="I306">
        <v>383123</v>
      </c>
      <c r="J306">
        <v>7.75</v>
      </c>
      <c r="L306" t="s">
        <v>12</v>
      </c>
    </row>
    <row r="307" spans="1:12" x14ac:dyDescent="0.35">
      <c r="A307">
        <v>1197</v>
      </c>
      <c r="B307">
        <v>1</v>
      </c>
      <c r="C307">
        <v>1</v>
      </c>
      <c r="D307" t="s">
        <v>449</v>
      </c>
      <c r="E307" t="s">
        <v>14</v>
      </c>
      <c r="F307">
        <v>64</v>
      </c>
      <c r="G307">
        <v>1</v>
      </c>
      <c r="H307">
        <v>1</v>
      </c>
      <c r="I307">
        <v>112901</v>
      </c>
      <c r="J307">
        <v>26.55</v>
      </c>
      <c r="K307" t="s">
        <v>450</v>
      </c>
      <c r="L307" t="s">
        <v>15</v>
      </c>
    </row>
    <row r="308" spans="1:12" x14ac:dyDescent="0.35">
      <c r="A308">
        <v>1198</v>
      </c>
      <c r="B308">
        <v>0</v>
      </c>
      <c r="C308">
        <v>1</v>
      </c>
      <c r="D308" t="s">
        <v>451</v>
      </c>
      <c r="E308" t="s">
        <v>11</v>
      </c>
      <c r="F308">
        <v>30</v>
      </c>
      <c r="G308">
        <v>1</v>
      </c>
      <c r="H308">
        <v>2</v>
      </c>
      <c r="I308">
        <v>113781</v>
      </c>
      <c r="J308">
        <v>151.55000000000001</v>
      </c>
      <c r="K308" t="s">
        <v>452</v>
      </c>
      <c r="L308" t="s">
        <v>15</v>
      </c>
    </row>
    <row r="309" spans="1:12" x14ac:dyDescent="0.35">
      <c r="A309">
        <v>1199</v>
      </c>
      <c r="B309">
        <v>0</v>
      </c>
      <c r="C309">
        <v>3</v>
      </c>
      <c r="D309" t="s">
        <v>453</v>
      </c>
      <c r="E309" t="s">
        <v>11</v>
      </c>
      <c r="F309">
        <v>0.83</v>
      </c>
      <c r="G309">
        <v>0</v>
      </c>
      <c r="H309">
        <v>1</v>
      </c>
      <c r="I309">
        <v>392091</v>
      </c>
      <c r="J309">
        <v>9.35</v>
      </c>
      <c r="L309" t="s">
        <v>15</v>
      </c>
    </row>
    <row r="310" spans="1:12" x14ac:dyDescent="0.35">
      <c r="A310">
        <v>1200</v>
      </c>
      <c r="B310">
        <v>0</v>
      </c>
      <c r="C310">
        <v>1</v>
      </c>
      <c r="D310" t="s">
        <v>454</v>
      </c>
      <c r="E310" t="s">
        <v>11</v>
      </c>
      <c r="F310">
        <v>55</v>
      </c>
      <c r="G310">
        <v>1</v>
      </c>
      <c r="H310">
        <v>1</v>
      </c>
      <c r="I310">
        <v>12749</v>
      </c>
      <c r="J310">
        <v>93.5</v>
      </c>
      <c r="K310" t="s">
        <v>455</v>
      </c>
      <c r="L310" t="s">
        <v>15</v>
      </c>
    </row>
    <row r="311" spans="1:12" x14ac:dyDescent="0.35">
      <c r="A311">
        <v>1201</v>
      </c>
      <c r="B311">
        <v>1</v>
      </c>
      <c r="C311">
        <v>3</v>
      </c>
      <c r="D311" t="s">
        <v>456</v>
      </c>
      <c r="E311" t="s">
        <v>14</v>
      </c>
      <c r="F311">
        <v>45</v>
      </c>
      <c r="G311">
        <v>1</v>
      </c>
      <c r="H311">
        <v>0</v>
      </c>
      <c r="I311">
        <v>350026</v>
      </c>
      <c r="J311">
        <v>14.1083</v>
      </c>
      <c r="L311" t="s">
        <v>15</v>
      </c>
    </row>
    <row r="312" spans="1:12" x14ac:dyDescent="0.35">
      <c r="A312">
        <v>1202</v>
      </c>
      <c r="B312">
        <v>0</v>
      </c>
      <c r="C312">
        <v>3</v>
      </c>
      <c r="D312" t="s">
        <v>457</v>
      </c>
      <c r="E312" t="s">
        <v>11</v>
      </c>
      <c r="F312">
        <v>18</v>
      </c>
      <c r="G312">
        <v>0</v>
      </c>
      <c r="H312">
        <v>0</v>
      </c>
      <c r="I312">
        <v>315091</v>
      </c>
      <c r="J312">
        <v>8.6624999999999996</v>
      </c>
      <c r="L312" t="s">
        <v>15</v>
      </c>
    </row>
    <row r="313" spans="1:12" x14ac:dyDescent="0.35">
      <c r="A313">
        <v>1203</v>
      </c>
      <c r="B313">
        <v>0</v>
      </c>
      <c r="C313">
        <v>3</v>
      </c>
      <c r="D313" t="s">
        <v>458</v>
      </c>
      <c r="E313" t="s">
        <v>11</v>
      </c>
      <c r="F313">
        <v>22</v>
      </c>
      <c r="G313">
        <v>0</v>
      </c>
      <c r="H313">
        <v>0</v>
      </c>
      <c r="I313">
        <v>2658</v>
      </c>
      <c r="J313">
        <v>7.2249999999999996</v>
      </c>
      <c r="L313" t="s">
        <v>23</v>
      </c>
    </row>
    <row r="314" spans="1:12" x14ac:dyDescent="0.35">
      <c r="A314">
        <v>1204</v>
      </c>
      <c r="B314">
        <v>0</v>
      </c>
      <c r="C314">
        <v>3</v>
      </c>
      <c r="D314" t="s">
        <v>459</v>
      </c>
      <c r="E314" t="s">
        <v>11</v>
      </c>
      <c r="G314">
        <v>0</v>
      </c>
      <c r="H314">
        <v>0</v>
      </c>
      <c r="I314" t="s">
        <v>460</v>
      </c>
      <c r="J314">
        <v>7.5750000000000002</v>
      </c>
      <c r="L314" t="s">
        <v>15</v>
      </c>
    </row>
    <row r="315" spans="1:12" x14ac:dyDescent="0.35">
      <c r="A315">
        <v>1205</v>
      </c>
      <c r="B315">
        <v>1</v>
      </c>
      <c r="C315">
        <v>3</v>
      </c>
      <c r="D315" t="s">
        <v>461</v>
      </c>
      <c r="E315" t="s">
        <v>14</v>
      </c>
      <c r="F315">
        <v>37</v>
      </c>
      <c r="G315">
        <v>0</v>
      </c>
      <c r="H315">
        <v>0</v>
      </c>
      <c r="I315">
        <v>368364</v>
      </c>
      <c r="J315">
        <v>7.75</v>
      </c>
      <c r="L315" t="s">
        <v>12</v>
      </c>
    </row>
    <row r="316" spans="1:12" x14ac:dyDescent="0.35">
      <c r="A316">
        <v>1206</v>
      </c>
      <c r="B316">
        <v>1</v>
      </c>
      <c r="C316">
        <v>1</v>
      </c>
      <c r="D316" t="s">
        <v>462</v>
      </c>
      <c r="E316" t="s">
        <v>14</v>
      </c>
      <c r="F316">
        <v>55</v>
      </c>
      <c r="G316">
        <v>0</v>
      </c>
      <c r="H316">
        <v>0</v>
      </c>
      <c r="I316" t="s">
        <v>463</v>
      </c>
      <c r="J316">
        <v>135.63329999999999</v>
      </c>
      <c r="K316" t="s">
        <v>464</v>
      </c>
      <c r="L316" t="s">
        <v>23</v>
      </c>
    </row>
    <row r="317" spans="1:12" x14ac:dyDescent="0.35">
      <c r="A317">
        <v>1207</v>
      </c>
      <c r="B317">
        <v>1</v>
      </c>
      <c r="C317">
        <v>3</v>
      </c>
      <c r="D317" t="s">
        <v>465</v>
      </c>
      <c r="E317" t="s">
        <v>14</v>
      </c>
      <c r="F317">
        <v>17</v>
      </c>
      <c r="G317">
        <v>0</v>
      </c>
      <c r="H317">
        <v>0</v>
      </c>
      <c r="I317" t="s">
        <v>466</v>
      </c>
      <c r="J317">
        <v>7.7332999999999998</v>
      </c>
      <c r="L317" t="s">
        <v>12</v>
      </c>
    </row>
    <row r="318" spans="1:12" x14ac:dyDescent="0.35">
      <c r="A318">
        <v>1208</v>
      </c>
      <c r="B318">
        <v>0</v>
      </c>
      <c r="C318">
        <v>1</v>
      </c>
      <c r="D318" t="s">
        <v>467</v>
      </c>
      <c r="E318" t="s">
        <v>11</v>
      </c>
      <c r="F318">
        <v>57</v>
      </c>
      <c r="G318">
        <v>1</v>
      </c>
      <c r="H318">
        <v>0</v>
      </c>
      <c r="I318" t="s">
        <v>468</v>
      </c>
      <c r="J318">
        <v>146.52080000000001</v>
      </c>
      <c r="K318" t="s">
        <v>469</v>
      </c>
      <c r="L318" t="s">
        <v>23</v>
      </c>
    </row>
    <row r="319" spans="1:12" x14ac:dyDescent="0.35">
      <c r="A319">
        <v>1209</v>
      </c>
      <c r="B319">
        <v>0</v>
      </c>
      <c r="C319">
        <v>2</v>
      </c>
      <c r="D319" t="s">
        <v>470</v>
      </c>
      <c r="E319" t="s">
        <v>11</v>
      </c>
      <c r="F319">
        <v>19</v>
      </c>
      <c r="G319">
        <v>0</v>
      </c>
      <c r="H319">
        <v>0</v>
      </c>
      <c r="I319">
        <v>28004</v>
      </c>
      <c r="J319">
        <v>10.5</v>
      </c>
      <c r="L319" t="s">
        <v>15</v>
      </c>
    </row>
    <row r="320" spans="1:12" x14ac:dyDescent="0.35">
      <c r="A320">
        <v>1210</v>
      </c>
      <c r="B320">
        <v>0</v>
      </c>
      <c r="C320">
        <v>3</v>
      </c>
      <c r="D320" t="s">
        <v>471</v>
      </c>
      <c r="E320" t="s">
        <v>11</v>
      </c>
      <c r="F320">
        <v>27</v>
      </c>
      <c r="G320">
        <v>0</v>
      </c>
      <c r="H320">
        <v>0</v>
      </c>
      <c r="I320">
        <v>350408</v>
      </c>
      <c r="J320">
        <v>7.8541999999999996</v>
      </c>
      <c r="L320" t="s">
        <v>15</v>
      </c>
    </row>
    <row r="321" spans="1:12" x14ac:dyDescent="0.35">
      <c r="A321">
        <v>1211</v>
      </c>
      <c r="B321">
        <v>0</v>
      </c>
      <c r="C321">
        <v>2</v>
      </c>
      <c r="D321" t="s">
        <v>472</v>
      </c>
      <c r="E321" t="s">
        <v>11</v>
      </c>
      <c r="F321">
        <v>22</v>
      </c>
      <c r="G321">
        <v>2</v>
      </c>
      <c r="H321">
        <v>0</v>
      </c>
      <c r="I321" t="s">
        <v>63</v>
      </c>
      <c r="J321">
        <v>31.5</v>
      </c>
      <c r="L321" t="s">
        <v>15</v>
      </c>
    </row>
    <row r="322" spans="1:12" x14ac:dyDescent="0.35">
      <c r="A322">
        <v>1212</v>
      </c>
      <c r="B322">
        <v>0</v>
      </c>
      <c r="C322">
        <v>3</v>
      </c>
      <c r="D322" t="s">
        <v>473</v>
      </c>
      <c r="E322" t="s">
        <v>11</v>
      </c>
      <c r="F322">
        <v>26</v>
      </c>
      <c r="G322">
        <v>0</v>
      </c>
      <c r="H322">
        <v>0</v>
      </c>
      <c r="I322">
        <v>347075</v>
      </c>
      <c r="J322">
        <v>7.7750000000000004</v>
      </c>
      <c r="L322" t="s">
        <v>15</v>
      </c>
    </row>
    <row r="323" spans="1:12" x14ac:dyDescent="0.35">
      <c r="A323">
        <v>1213</v>
      </c>
      <c r="B323">
        <v>0</v>
      </c>
      <c r="C323">
        <v>3</v>
      </c>
      <c r="D323" t="s">
        <v>474</v>
      </c>
      <c r="E323" t="s">
        <v>11</v>
      </c>
      <c r="F323">
        <v>25</v>
      </c>
      <c r="G323">
        <v>0</v>
      </c>
      <c r="H323">
        <v>0</v>
      </c>
      <c r="I323">
        <v>2654</v>
      </c>
      <c r="J323">
        <v>7.2291999999999996</v>
      </c>
      <c r="K323" t="s">
        <v>475</v>
      </c>
      <c r="L323" t="s">
        <v>23</v>
      </c>
    </row>
    <row r="324" spans="1:12" x14ac:dyDescent="0.35">
      <c r="A324">
        <v>1214</v>
      </c>
      <c r="B324">
        <v>0</v>
      </c>
      <c r="C324">
        <v>2</v>
      </c>
      <c r="D324" t="s">
        <v>476</v>
      </c>
      <c r="E324" t="s">
        <v>11</v>
      </c>
      <c r="F324">
        <v>26</v>
      </c>
      <c r="G324">
        <v>0</v>
      </c>
      <c r="H324">
        <v>0</v>
      </c>
      <c r="I324">
        <v>244368</v>
      </c>
      <c r="J324">
        <v>13</v>
      </c>
      <c r="K324" t="s">
        <v>477</v>
      </c>
      <c r="L324" t="s">
        <v>15</v>
      </c>
    </row>
    <row r="325" spans="1:12" x14ac:dyDescent="0.35">
      <c r="A325">
        <v>1215</v>
      </c>
      <c r="B325">
        <v>0</v>
      </c>
      <c r="C325">
        <v>1</v>
      </c>
      <c r="D325" t="s">
        <v>478</v>
      </c>
      <c r="E325" t="s">
        <v>11</v>
      </c>
      <c r="F325">
        <v>33</v>
      </c>
      <c r="G325">
        <v>0</v>
      </c>
      <c r="H325">
        <v>0</v>
      </c>
      <c r="I325">
        <v>113790</v>
      </c>
      <c r="J325">
        <v>26.55</v>
      </c>
      <c r="L325" t="s">
        <v>15</v>
      </c>
    </row>
    <row r="326" spans="1:12" x14ac:dyDescent="0.35">
      <c r="A326">
        <v>1216</v>
      </c>
      <c r="B326">
        <v>1</v>
      </c>
      <c r="C326">
        <v>1</v>
      </c>
      <c r="D326" t="s">
        <v>479</v>
      </c>
      <c r="E326" t="s">
        <v>14</v>
      </c>
      <c r="F326">
        <v>39</v>
      </c>
      <c r="G326">
        <v>0</v>
      </c>
      <c r="H326">
        <v>0</v>
      </c>
      <c r="I326">
        <v>24160</v>
      </c>
      <c r="J326">
        <v>211.33750000000001</v>
      </c>
      <c r="L326" t="s">
        <v>15</v>
      </c>
    </row>
    <row r="327" spans="1:12" x14ac:dyDescent="0.35">
      <c r="A327">
        <v>1217</v>
      </c>
      <c r="B327">
        <v>0</v>
      </c>
      <c r="C327">
        <v>3</v>
      </c>
      <c r="D327" t="s">
        <v>480</v>
      </c>
      <c r="E327" t="s">
        <v>11</v>
      </c>
      <c r="F327">
        <v>23</v>
      </c>
      <c r="G327">
        <v>0</v>
      </c>
      <c r="H327">
        <v>0</v>
      </c>
      <c r="I327" t="s">
        <v>481</v>
      </c>
      <c r="J327">
        <v>7.05</v>
      </c>
      <c r="L327" t="s">
        <v>15</v>
      </c>
    </row>
    <row r="328" spans="1:12" x14ac:dyDescent="0.35">
      <c r="A328">
        <v>1218</v>
      </c>
      <c r="B328">
        <v>1</v>
      </c>
      <c r="C328">
        <v>2</v>
      </c>
      <c r="D328" t="s">
        <v>482</v>
      </c>
      <c r="E328" t="s">
        <v>14</v>
      </c>
      <c r="F328">
        <v>12</v>
      </c>
      <c r="G328">
        <v>2</v>
      </c>
      <c r="H328">
        <v>1</v>
      </c>
      <c r="I328">
        <v>230136</v>
      </c>
      <c r="J328">
        <v>39</v>
      </c>
      <c r="K328" t="s">
        <v>270</v>
      </c>
      <c r="L328" t="s">
        <v>15</v>
      </c>
    </row>
    <row r="329" spans="1:12" x14ac:dyDescent="0.35">
      <c r="A329">
        <v>1219</v>
      </c>
      <c r="B329">
        <v>0</v>
      </c>
      <c r="C329">
        <v>1</v>
      </c>
      <c r="D329" t="s">
        <v>483</v>
      </c>
      <c r="E329" t="s">
        <v>11</v>
      </c>
      <c r="F329">
        <v>46</v>
      </c>
      <c r="G329">
        <v>0</v>
      </c>
      <c r="H329">
        <v>0</v>
      </c>
      <c r="I329" t="s">
        <v>484</v>
      </c>
      <c r="J329">
        <v>79.2</v>
      </c>
      <c r="L329" t="s">
        <v>23</v>
      </c>
    </row>
    <row r="330" spans="1:12" x14ac:dyDescent="0.35">
      <c r="A330">
        <v>1220</v>
      </c>
      <c r="B330">
        <v>0</v>
      </c>
      <c r="C330">
        <v>2</v>
      </c>
      <c r="D330" t="s">
        <v>485</v>
      </c>
      <c r="E330" t="s">
        <v>11</v>
      </c>
      <c r="F330">
        <v>29</v>
      </c>
      <c r="G330">
        <v>1</v>
      </c>
      <c r="H330">
        <v>0</v>
      </c>
      <c r="I330">
        <v>2003</v>
      </c>
      <c r="J330">
        <v>26</v>
      </c>
      <c r="L330" t="s">
        <v>15</v>
      </c>
    </row>
    <row r="331" spans="1:12" x14ac:dyDescent="0.35">
      <c r="A331">
        <v>1221</v>
      </c>
      <c r="B331">
        <v>0</v>
      </c>
      <c r="C331">
        <v>2</v>
      </c>
      <c r="D331" t="s">
        <v>486</v>
      </c>
      <c r="E331" t="s">
        <v>11</v>
      </c>
      <c r="F331">
        <v>21</v>
      </c>
      <c r="G331">
        <v>0</v>
      </c>
      <c r="H331">
        <v>0</v>
      </c>
      <c r="I331">
        <v>236854</v>
      </c>
      <c r="J331">
        <v>13</v>
      </c>
      <c r="L331" t="s">
        <v>15</v>
      </c>
    </row>
    <row r="332" spans="1:12" x14ac:dyDescent="0.35">
      <c r="A332">
        <v>1222</v>
      </c>
      <c r="B332">
        <v>1</v>
      </c>
      <c r="C332">
        <v>2</v>
      </c>
      <c r="D332" t="s">
        <v>487</v>
      </c>
      <c r="E332" t="s">
        <v>14</v>
      </c>
      <c r="F332">
        <v>48</v>
      </c>
      <c r="G332">
        <v>0</v>
      </c>
      <c r="H332">
        <v>2</v>
      </c>
      <c r="I332" t="s">
        <v>267</v>
      </c>
      <c r="J332">
        <v>36.75</v>
      </c>
      <c r="L332" t="s">
        <v>15</v>
      </c>
    </row>
    <row r="333" spans="1:12" x14ac:dyDescent="0.35">
      <c r="A333">
        <v>1223</v>
      </c>
      <c r="B333">
        <v>0</v>
      </c>
      <c r="C333">
        <v>1</v>
      </c>
      <c r="D333" t="s">
        <v>488</v>
      </c>
      <c r="E333" t="s">
        <v>11</v>
      </c>
      <c r="F333">
        <v>39</v>
      </c>
      <c r="G333">
        <v>0</v>
      </c>
      <c r="H333">
        <v>0</v>
      </c>
      <c r="I333" t="s">
        <v>489</v>
      </c>
      <c r="J333">
        <v>29.7</v>
      </c>
      <c r="K333" t="s">
        <v>490</v>
      </c>
      <c r="L333" t="s">
        <v>23</v>
      </c>
    </row>
    <row r="334" spans="1:12" x14ac:dyDescent="0.35">
      <c r="A334">
        <v>1224</v>
      </c>
      <c r="B334">
        <v>0</v>
      </c>
      <c r="C334">
        <v>3</v>
      </c>
      <c r="D334" t="s">
        <v>491</v>
      </c>
      <c r="E334" t="s">
        <v>11</v>
      </c>
      <c r="G334">
        <v>0</v>
      </c>
      <c r="H334">
        <v>0</v>
      </c>
      <c r="I334">
        <v>2684</v>
      </c>
      <c r="J334">
        <v>7.2249999999999996</v>
      </c>
      <c r="L334" t="s">
        <v>23</v>
      </c>
    </row>
    <row r="335" spans="1:12" x14ac:dyDescent="0.35">
      <c r="A335">
        <v>1225</v>
      </c>
      <c r="B335">
        <v>1</v>
      </c>
      <c r="C335">
        <v>3</v>
      </c>
      <c r="D335" t="s">
        <v>492</v>
      </c>
      <c r="E335" t="s">
        <v>14</v>
      </c>
      <c r="F335">
        <v>19</v>
      </c>
      <c r="G335">
        <v>1</v>
      </c>
      <c r="H335">
        <v>1</v>
      </c>
      <c r="I335">
        <v>2653</v>
      </c>
      <c r="J335">
        <v>15.7417</v>
      </c>
      <c r="L335" t="s">
        <v>23</v>
      </c>
    </row>
    <row r="336" spans="1:12" x14ac:dyDescent="0.35">
      <c r="A336">
        <v>1226</v>
      </c>
      <c r="B336">
        <v>0</v>
      </c>
      <c r="C336">
        <v>3</v>
      </c>
      <c r="D336" t="s">
        <v>493</v>
      </c>
      <c r="E336" t="s">
        <v>11</v>
      </c>
      <c r="F336">
        <v>27</v>
      </c>
      <c r="G336">
        <v>0</v>
      </c>
      <c r="H336">
        <v>0</v>
      </c>
      <c r="I336">
        <v>349229</v>
      </c>
      <c r="J336">
        <v>7.8958000000000004</v>
      </c>
      <c r="L336" t="s">
        <v>15</v>
      </c>
    </row>
    <row r="337" spans="1:12" x14ac:dyDescent="0.35">
      <c r="A337">
        <v>1227</v>
      </c>
      <c r="B337">
        <v>0</v>
      </c>
      <c r="C337">
        <v>1</v>
      </c>
      <c r="D337" t="s">
        <v>494</v>
      </c>
      <c r="E337" t="s">
        <v>11</v>
      </c>
      <c r="F337">
        <v>30</v>
      </c>
      <c r="G337">
        <v>0</v>
      </c>
      <c r="H337">
        <v>0</v>
      </c>
      <c r="I337">
        <v>110469</v>
      </c>
      <c r="J337">
        <v>26</v>
      </c>
      <c r="K337" t="s">
        <v>495</v>
      </c>
      <c r="L337" t="s">
        <v>15</v>
      </c>
    </row>
    <row r="338" spans="1:12" x14ac:dyDescent="0.35">
      <c r="A338">
        <v>1228</v>
      </c>
      <c r="B338">
        <v>0</v>
      </c>
      <c r="C338">
        <v>2</v>
      </c>
      <c r="D338" t="s">
        <v>496</v>
      </c>
      <c r="E338" t="s">
        <v>11</v>
      </c>
      <c r="F338">
        <v>32</v>
      </c>
      <c r="G338">
        <v>0</v>
      </c>
      <c r="H338">
        <v>0</v>
      </c>
      <c r="I338">
        <v>244360</v>
      </c>
      <c r="J338">
        <v>13</v>
      </c>
      <c r="L338" t="s">
        <v>15</v>
      </c>
    </row>
    <row r="339" spans="1:12" x14ac:dyDescent="0.35">
      <c r="A339">
        <v>1229</v>
      </c>
      <c r="B339">
        <v>0</v>
      </c>
      <c r="C339">
        <v>3</v>
      </c>
      <c r="D339" t="s">
        <v>497</v>
      </c>
      <c r="E339" t="s">
        <v>11</v>
      </c>
      <c r="F339">
        <v>39</v>
      </c>
      <c r="G339">
        <v>0</v>
      </c>
      <c r="H339">
        <v>2</v>
      </c>
      <c r="I339">
        <v>2675</v>
      </c>
      <c r="J339">
        <v>7.2291999999999996</v>
      </c>
      <c r="L339" t="s">
        <v>23</v>
      </c>
    </row>
    <row r="340" spans="1:12" x14ac:dyDescent="0.35">
      <c r="A340">
        <v>1230</v>
      </c>
      <c r="B340">
        <v>0</v>
      </c>
      <c r="C340">
        <v>2</v>
      </c>
      <c r="D340" t="s">
        <v>498</v>
      </c>
      <c r="E340" t="s">
        <v>11</v>
      </c>
      <c r="F340">
        <v>25</v>
      </c>
      <c r="G340">
        <v>0</v>
      </c>
      <c r="H340">
        <v>0</v>
      </c>
      <c r="I340" t="s">
        <v>63</v>
      </c>
      <c r="J340">
        <v>31.5</v>
      </c>
      <c r="L340" t="s">
        <v>15</v>
      </c>
    </row>
    <row r="341" spans="1:12" x14ac:dyDescent="0.35">
      <c r="A341">
        <v>1231</v>
      </c>
      <c r="B341">
        <v>0</v>
      </c>
      <c r="C341">
        <v>3</v>
      </c>
      <c r="D341" t="s">
        <v>499</v>
      </c>
      <c r="E341" t="s">
        <v>11</v>
      </c>
      <c r="G341">
        <v>0</v>
      </c>
      <c r="H341">
        <v>0</v>
      </c>
      <c r="I341">
        <v>2622</v>
      </c>
      <c r="J341">
        <v>7.2291999999999996</v>
      </c>
      <c r="L341" t="s">
        <v>23</v>
      </c>
    </row>
    <row r="342" spans="1:12" x14ac:dyDescent="0.35">
      <c r="A342">
        <v>1232</v>
      </c>
      <c r="B342">
        <v>0</v>
      </c>
      <c r="C342">
        <v>2</v>
      </c>
      <c r="D342" t="s">
        <v>500</v>
      </c>
      <c r="E342" t="s">
        <v>11</v>
      </c>
      <c r="F342">
        <v>18</v>
      </c>
      <c r="G342">
        <v>0</v>
      </c>
      <c r="H342">
        <v>0</v>
      </c>
      <c r="I342" t="s">
        <v>501</v>
      </c>
      <c r="J342">
        <v>10.5</v>
      </c>
      <c r="L342" t="s">
        <v>15</v>
      </c>
    </row>
    <row r="343" spans="1:12" x14ac:dyDescent="0.35">
      <c r="A343">
        <v>1233</v>
      </c>
      <c r="B343">
        <v>0</v>
      </c>
      <c r="C343">
        <v>3</v>
      </c>
      <c r="D343" t="s">
        <v>502</v>
      </c>
      <c r="E343" t="s">
        <v>11</v>
      </c>
      <c r="F343">
        <v>32</v>
      </c>
      <c r="G343">
        <v>0</v>
      </c>
      <c r="H343">
        <v>0</v>
      </c>
      <c r="I343">
        <v>350403</v>
      </c>
      <c r="J343">
        <v>7.5792000000000002</v>
      </c>
      <c r="L343" t="s">
        <v>15</v>
      </c>
    </row>
    <row r="344" spans="1:12" x14ac:dyDescent="0.35">
      <c r="A344">
        <v>1234</v>
      </c>
      <c r="B344">
        <v>0</v>
      </c>
      <c r="C344">
        <v>3</v>
      </c>
      <c r="D344" t="s">
        <v>503</v>
      </c>
      <c r="E344" t="s">
        <v>11</v>
      </c>
      <c r="G344">
        <v>1</v>
      </c>
      <c r="H344">
        <v>9</v>
      </c>
      <c r="I344" t="s">
        <v>289</v>
      </c>
      <c r="J344">
        <v>69.55</v>
      </c>
      <c r="L344" t="s">
        <v>15</v>
      </c>
    </row>
    <row r="345" spans="1:12" x14ac:dyDescent="0.35">
      <c r="A345">
        <v>1235</v>
      </c>
      <c r="B345">
        <v>1</v>
      </c>
      <c r="C345">
        <v>1</v>
      </c>
      <c r="D345" t="s">
        <v>504</v>
      </c>
      <c r="E345" t="s">
        <v>14</v>
      </c>
      <c r="F345">
        <v>58</v>
      </c>
      <c r="G345">
        <v>0</v>
      </c>
      <c r="H345">
        <v>1</v>
      </c>
      <c r="I345" t="s">
        <v>505</v>
      </c>
      <c r="J345">
        <v>512.32920000000001</v>
      </c>
      <c r="K345" t="s">
        <v>506</v>
      </c>
      <c r="L345" t="s">
        <v>23</v>
      </c>
    </row>
    <row r="346" spans="1:12" x14ac:dyDescent="0.35">
      <c r="A346">
        <v>1236</v>
      </c>
      <c r="B346">
        <v>0</v>
      </c>
      <c r="C346">
        <v>3</v>
      </c>
      <c r="D346" t="s">
        <v>507</v>
      </c>
      <c r="E346" t="s">
        <v>11</v>
      </c>
      <c r="G346">
        <v>1</v>
      </c>
      <c r="H346">
        <v>1</v>
      </c>
      <c r="I346" t="s">
        <v>294</v>
      </c>
      <c r="J346">
        <v>14.5</v>
      </c>
      <c r="L346" t="s">
        <v>15</v>
      </c>
    </row>
    <row r="347" spans="1:12" x14ac:dyDescent="0.35">
      <c r="A347">
        <v>1237</v>
      </c>
      <c r="B347">
        <v>1</v>
      </c>
      <c r="C347">
        <v>3</v>
      </c>
      <c r="D347" t="s">
        <v>508</v>
      </c>
      <c r="E347" t="s">
        <v>14</v>
      </c>
      <c r="F347">
        <v>16</v>
      </c>
      <c r="G347">
        <v>0</v>
      </c>
      <c r="H347">
        <v>0</v>
      </c>
      <c r="I347">
        <v>348125</v>
      </c>
      <c r="J347">
        <v>7.65</v>
      </c>
      <c r="L347" t="s">
        <v>15</v>
      </c>
    </row>
    <row r="348" spans="1:12" x14ac:dyDescent="0.35">
      <c r="A348">
        <v>1238</v>
      </c>
      <c r="B348">
        <v>0</v>
      </c>
      <c r="C348">
        <v>2</v>
      </c>
      <c r="D348" t="s">
        <v>509</v>
      </c>
      <c r="E348" t="s">
        <v>11</v>
      </c>
      <c r="F348">
        <v>26</v>
      </c>
      <c r="G348">
        <v>0</v>
      </c>
      <c r="H348">
        <v>0</v>
      </c>
      <c r="I348">
        <v>237670</v>
      </c>
      <c r="J348">
        <v>13</v>
      </c>
      <c r="L348" t="s">
        <v>15</v>
      </c>
    </row>
    <row r="349" spans="1:12" x14ac:dyDescent="0.35">
      <c r="A349">
        <v>1239</v>
      </c>
      <c r="B349">
        <v>1</v>
      </c>
      <c r="C349">
        <v>3</v>
      </c>
      <c r="D349" t="s">
        <v>510</v>
      </c>
      <c r="E349" t="s">
        <v>14</v>
      </c>
      <c r="F349">
        <v>38</v>
      </c>
      <c r="G349">
        <v>0</v>
      </c>
      <c r="H349">
        <v>0</v>
      </c>
      <c r="I349">
        <v>2688</v>
      </c>
      <c r="J349">
        <v>7.2291999999999996</v>
      </c>
      <c r="L349" t="s">
        <v>23</v>
      </c>
    </row>
    <row r="350" spans="1:12" x14ac:dyDescent="0.35">
      <c r="A350">
        <v>1240</v>
      </c>
      <c r="B350">
        <v>0</v>
      </c>
      <c r="C350">
        <v>2</v>
      </c>
      <c r="D350" t="s">
        <v>511</v>
      </c>
      <c r="E350" t="s">
        <v>11</v>
      </c>
      <c r="F350">
        <v>24</v>
      </c>
      <c r="G350">
        <v>0</v>
      </c>
      <c r="H350">
        <v>0</v>
      </c>
      <c r="I350">
        <v>248726</v>
      </c>
      <c r="J350">
        <v>13.5</v>
      </c>
      <c r="L350" t="s">
        <v>15</v>
      </c>
    </row>
    <row r="351" spans="1:12" x14ac:dyDescent="0.35">
      <c r="A351">
        <v>1241</v>
      </c>
      <c r="B351">
        <v>1</v>
      </c>
      <c r="C351">
        <v>2</v>
      </c>
      <c r="D351" t="s">
        <v>512</v>
      </c>
      <c r="E351" t="s">
        <v>14</v>
      </c>
      <c r="F351">
        <v>31</v>
      </c>
      <c r="G351">
        <v>0</v>
      </c>
      <c r="H351">
        <v>0</v>
      </c>
      <c r="I351" t="s">
        <v>513</v>
      </c>
      <c r="J351">
        <v>21</v>
      </c>
      <c r="L351" t="s">
        <v>15</v>
      </c>
    </row>
    <row r="352" spans="1:12" x14ac:dyDescent="0.35">
      <c r="A352">
        <v>1242</v>
      </c>
      <c r="B352">
        <v>1</v>
      </c>
      <c r="C352">
        <v>1</v>
      </c>
      <c r="D352" t="s">
        <v>514</v>
      </c>
      <c r="E352" t="s">
        <v>14</v>
      </c>
      <c r="F352">
        <v>45</v>
      </c>
      <c r="G352">
        <v>0</v>
      </c>
      <c r="H352">
        <v>1</v>
      </c>
      <c r="I352" t="s">
        <v>515</v>
      </c>
      <c r="J352">
        <v>63.3583</v>
      </c>
      <c r="K352" t="s">
        <v>516</v>
      </c>
      <c r="L352" t="s">
        <v>23</v>
      </c>
    </row>
    <row r="353" spans="1:12" x14ac:dyDescent="0.35">
      <c r="A353">
        <v>1243</v>
      </c>
      <c r="B353">
        <v>0</v>
      </c>
      <c r="C353">
        <v>2</v>
      </c>
      <c r="D353" t="s">
        <v>517</v>
      </c>
      <c r="E353" t="s">
        <v>11</v>
      </c>
      <c r="F353">
        <v>25</v>
      </c>
      <c r="G353">
        <v>0</v>
      </c>
      <c r="H353">
        <v>0</v>
      </c>
      <c r="I353" t="s">
        <v>518</v>
      </c>
      <c r="J353">
        <v>10.5</v>
      </c>
      <c r="L353" t="s">
        <v>15</v>
      </c>
    </row>
    <row r="354" spans="1:12" x14ac:dyDescent="0.35">
      <c r="A354">
        <v>1244</v>
      </c>
      <c r="B354">
        <v>0</v>
      </c>
      <c r="C354">
        <v>2</v>
      </c>
      <c r="D354" t="s">
        <v>519</v>
      </c>
      <c r="E354" t="s">
        <v>11</v>
      </c>
      <c r="F354">
        <v>18</v>
      </c>
      <c r="G354">
        <v>0</v>
      </c>
      <c r="H354">
        <v>0</v>
      </c>
      <c r="I354" t="s">
        <v>324</v>
      </c>
      <c r="J354">
        <v>73.5</v>
      </c>
      <c r="L354" t="s">
        <v>15</v>
      </c>
    </row>
    <row r="355" spans="1:12" x14ac:dyDescent="0.35">
      <c r="A355">
        <v>1245</v>
      </c>
      <c r="B355">
        <v>0</v>
      </c>
      <c r="C355">
        <v>2</v>
      </c>
      <c r="D355" t="s">
        <v>520</v>
      </c>
      <c r="E355" t="s">
        <v>11</v>
      </c>
      <c r="F355">
        <v>49</v>
      </c>
      <c r="G355">
        <v>1</v>
      </c>
      <c r="H355">
        <v>2</v>
      </c>
      <c r="I355">
        <v>220845</v>
      </c>
      <c r="J355">
        <v>65</v>
      </c>
      <c r="L355" t="s">
        <v>15</v>
      </c>
    </row>
    <row r="356" spans="1:12" x14ac:dyDescent="0.35">
      <c r="A356">
        <v>1246</v>
      </c>
      <c r="B356">
        <v>1</v>
      </c>
      <c r="C356">
        <v>3</v>
      </c>
      <c r="D356" t="s">
        <v>521</v>
      </c>
      <c r="E356" t="s">
        <v>14</v>
      </c>
      <c r="F356">
        <v>0.17</v>
      </c>
      <c r="G356">
        <v>1</v>
      </c>
      <c r="H356">
        <v>2</v>
      </c>
      <c r="I356" t="s">
        <v>65</v>
      </c>
      <c r="J356">
        <v>20.574999999999999</v>
      </c>
      <c r="L356" t="s">
        <v>15</v>
      </c>
    </row>
    <row r="357" spans="1:12" x14ac:dyDescent="0.35">
      <c r="A357">
        <v>1247</v>
      </c>
      <c r="B357">
        <v>0</v>
      </c>
      <c r="C357">
        <v>1</v>
      </c>
      <c r="D357" t="s">
        <v>522</v>
      </c>
      <c r="E357" t="s">
        <v>11</v>
      </c>
      <c r="F357">
        <v>50</v>
      </c>
      <c r="G357">
        <v>0</v>
      </c>
      <c r="H357">
        <v>0</v>
      </c>
      <c r="I357">
        <v>113044</v>
      </c>
      <c r="J357">
        <v>26</v>
      </c>
      <c r="K357" t="s">
        <v>523</v>
      </c>
      <c r="L357" t="s">
        <v>15</v>
      </c>
    </row>
    <row r="358" spans="1:12" x14ac:dyDescent="0.35">
      <c r="A358">
        <v>1248</v>
      </c>
      <c r="B358">
        <v>1</v>
      </c>
      <c r="C358">
        <v>1</v>
      </c>
      <c r="D358" t="s">
        <v>524</v>
      </c>
      <c r="E358" t="s">
        <v>14</v>
      </c>
      <c r="F358">
        <v>59</v>
      </c>
      <c r="G358">
        <v>2</v>
      </c>
      <c r="H358">
        <v>0</v>
      </c>
      <c r="I358">
        <v>11769</v>
      </c>
      <c r="J358">
        <v>51.479199999999999</v>
      </c>
      <c r="K358" t="s">
        <v>133</v>
      </c>
      <c r="L358" t="s">
        <v>15</v>
      </c>
    </row>
    <row r="359" spans="1:12" x14ac:dyDescent="0.35">
      <c r="A359">
        <v>1249</v>
      </c>
      <c r="B359">
        <v>0</v>
      </c>
      <c r="C359">
        <v>3</v>
      </c>
      <c r="D359" t="s">
        <v>525</v>
      </c>
      <c r="E359" t="s">
        <v>11</v>
      </c>
      <c r="G359">
        <v>0</v>
      </c>
      <c r="H359">
        <v>0</v>
      </c>
      <c r="I359">
        <v>1222</v>
      </c>
      <c r="J359">
        <v>7.8792</v>
      </c>
      <c r="L359" t="s">
        <v>15</v>
      </c>
    </row>
    <row r="360" spans="1:12" x14ac:dyDescent="0.35">
      <c r="A360">
        <v>1250</v>
      </c>
      <c r="B360">
        <v>0</v>
      </c>
      <c r="C360">
        <v>3</v>
      </c>
      <c r="D360" t="s">
        <v>526</v>
      </c>
      <c r="E360" t="s">
        <v>11</v>
      </c>
      <c r="G360">
        <v>0</v>
      </c>
      <c r="H360">
        <v>0</v>
      </c>
      <c r="I360">
        <v>368402</v>
      </c>
      <c r="J360">
        <v>7.75</v>
      </c>
      <c r="L360" t="s">
        <v>12</v>
      </c>
    </row>
    <row r="361" spans="1:12" x14ac:dyDescent="0.35">
      <c r="A361">
        <v>1251</v>
      </c>
      <c r="B361">
        <v>1</v>
      </c>
      <c r="C361">
        <v>3</v>
      </c>
      <c r="D361" t="s">
        <v>527</v>
      </c>
      <c r="E361" t="s">
        <v>14</v>
      </c>
      <c r="F361">
        <v>30</v>
      </c>
      <c r="G361">
        <v>1</v>
      </c>
      <c r="H361">
        <v>0</v>
      </c>
      <c r="I361">
        <v>349910</v>
      </c>
      <c r="J361">
        <v>15.55</v>
      </c>
      <c r="L361" t="s">
        <v>15</v>
      </c>
    </row>
    <row r="362" spans="1:12" x14ac:dyDescent="0.35">
      <c r="A362">
        <v>1252</v>
      </c>
      <c r="B362">
        <v>0</v>
      </c>
      <c r="C362">
        <v>3</v>
      </c>
      <c r="D362" t="s">
        <v>528</v>
      </c>
      <c r="E362" t="s">
        <v>11</v>
      </c>
      <c r="F362">
        <v>14.5</v>
      </c>
      <c r="G362">
        <v>8</v>
      </c>
      <c r="H362">
        <v>2</v>
      </c>
      <c r="I362" t="s">
        <v>289</v>
      </c>
      <c r="J362">
        <v>69.55</v>
      </c>
      <c r="L362" t="s">
        <v>15</v>
      </c>
    </row>
    <row r="363" spans="1:12" x14ac:dyDescent="0.35">
      <c r="A363">
        <v>1253</v>
      </c>
      <c r="B363">
        <v>1</v>
      </c>
      <c r="C363">
        <v>2</v>
      </c>
      <c r="D363" t="s">
        <v>529</v>
      </c>
      <c r="E363" t="s">
        <v>14</v>
      </c>
      <c r="F363">
        <v>24</v>
      </c>
      <c r="G363">
        <v>1</v>
      </c>
      <c r="H363">
        <v>1</v>
      </c>
      <c r="I363" t="s">
        <v>530</v>
      </c>
      <c r="J363">
        <v>37.004199999999997</v>
      </c>
      <c r="L363" t="s">
        <v>23</v>
      </c>
    </row>
    <row r="364" spans="1:12" x14ac:dyDescent="0.35">
      <c r="A364">
        <v>1254</v>
      </c>
      <c r="B364">
        <v>1</v>
      </c>
      <c r="C364">
        <v>2</v>
      </c>
      <c r="D364" t="s">
        <v>531</v>
      </c>
      <c r="E364" t="s">
        <v>14</v>
      </c>
      <c r="F364">
        <v>31</v>
      </c>
      <c r="G364">
        <v>0</v>
      </c>
      <c r="H364">
        <v>0</v>
      </c>
      <c r="I364" t="s">
        <v>413</v>
      </c>
      <c r="J364">
        <v>21</v>
      </c>
      <c r="L364" t="s">
        <v>15</v>
      </c>
    </row>
    <row r="365" spans="1:12" x14ac:dyDescent="0.35">
      <c r="A365">
        <v>1255</v>
      </c>
      <c r="B365">
        <v>0</v>
      </c>
      <c r="C365">
        <v>3</v>
      </c>
      <c r="D365" t="s">
        <v>532</v>
      </c>
      <c r="E365" t="s">
        <v>11</v>
      </c>
      <c r="F365">
        <v>27</v>
      </c>
      <c r="G365">
        <v>0</v>
      </c>
      <c r="H365">
        <v>0</v>
      </c>
      <c r="I365">
        <v>315083</v>
      </c>
      <c r="J365">
        <v>8.6624999999999996</v>
      </c>
      <c r="L365" t="s">
        <v>15</v>
      </c>
    </row>
    <row r="366" spans="1:12" x14ac:dyDescent="0.35">
      <c r="A366">
        <v>1256</v>
      </c>
      <c r="B366">
        <v>1</v>
      </c>
      <c r="C366">
        <v>1</v>
      </c>
      <c r="D366" t="s">
        <v>533</v>
      </c>
      <c r="E366" t="s">
        <v>14</v>
      </c>
      <c r="F366">
        <v>25</v>
      </c>
      <c r="G366">
        <v>1</v>
      </c>
      <c r="H366">
        <v>0</v>
      </c>
      <c r="I366">
        <v>11765</v>
      </c>
      <c r="J366">
        <v>55.441699999999997</v>
      </c>
      <c r="K366" t="s">
        <v>534</v>
      </c>
      <c r="L366" t="s">
        <v>23</v>
      </c>
    </row>
    <row r="367" spans="1:12" x14ac:dyDescent="0.35">
      <c r="A367">
        <v>1257</v>
      </c>
      <c r="B367">
        <v>1</v>
      </c>
      <c r="C367">
        <v>3</v>
      </c>
      <c r="D367" t="s">
        <v>535</v>
      </c>
      <c r="E367" t="s">
        <v>14</v>
      </c>
      <c r="G367">
        <v>1</v>
      </c>
      <c r="H367">
        <v>9</v>
      </c>
      <c r="I367" t="s">
        <v>289</v>
      </c>
      <c r="J367">
        <v>69.55</v>
      </c>
      <c r="L367" t="s">
        <v>15</v>
      </c>
    </row>
    <row r="368" spans="1:12" x14ac:dyDescent="0.35">
      <c r="A368">
        <v>1258</v>
      </c>
      <c r="B368">
        <v>0</v>
      </c>
      <c r="C368">
        <v>3</v>
      </c>
      <c r="D368" t="s">
        <v>536</v>
      </c>
      <c r="E368" t="s">
        <v>11</v>
      </c>
      <c r="G368">
        <v>1</v>
      </c>
      <c r="H368">
        <v>0</v>
      </c>
      <c r="I368">
        <v>2689</v>
      </c>
      <c r="J368">
        <v>14.458299999999999</v>
      </c>
      <c r="L368" t="s">
        <v>23</v>
      </c>
    </row>
    <row r="369" spans="1:12" x14ac:dyDescent="0.35">
      <c r="A369">
        <v>1259</v>
      </c>
      <c r="B369">
        <v>1</v>
      </c>
      <c r="C369">
        <v>3</v>
      </c>
      <c r="D369" t="s">
        <v>537</v>
      </c>
      <c r="E369" t="s">
        <v>14</v>
      </c>
      <c r="F369">
        <v>22</v>
      </c>
      <c r="G369">
        <v>0</v>
      </c>
      <c r="H369">
        <v>0</v>
      </c>
      <c r="I369">
        <v>3101295</v>
      </c>
      <c r="J369">
        <v>39.6875</v>
      </c>
      <c r="L369" t="s">
        <v>15</v>
      </c>
    </row>
    <row r="370" spans="1:12" x14ac:dyDescent="0.35">
      <c r="A370">
        <v>1260</v>
      </c>
      <c r="B370">
        <v>1</v>
      </c>
      <c r="C370">
        <v>1</v>
      </c>
      <c r="D370" t="s">
        <v>538</v>
      </c>
      <c r="E370" t="s">
        <v>14</v>
      </c>
      <c r="F370">
        <v>45</v>
      </c>
      <c r="G370">
        <v>0</v>
      </c>
      <c r="H370">
        <v>1</v>
      </c>
      <c r="I370">
        <v>112378</v>
      </c>
      <c r="J370">
        <v>59.4</v>
      </c>
      <c r="L370" t="s">
        <v>23</v>
      </c>
    </row>
    <row r="371" spans="1:12" x14ac:dyDescent="0.35">
      <c r="A371">
        <v>1261</v>
      </c>
      <c r="B371">
        <v>0</v>
      </c>
      <c r="C371">
        <v>2</v>
      </c>
      <c r="D371" t="s">
        <v>539</v>
      </c>
      <c r="E371" t="s">
        <v>11</v>
      </c>
      <c r="F371">
        <v>29</v>
      </c>
      <c r="G371">
        <v>0</v>
      </c>
      <c r="H371">
        <v>0</v>
      </c>
      <c r="I371" t="s">
        <v>540</v>
      </c>
      <c r="J371">
        <v>13.8583</v>
      </c>
      <c r="L371" t="s">
        <v>23</v>
      </c>
    </row>
    <row r="372" spans="1:12" x14ac:dyDescent="0.35">
      <c r="A372">
        <v>1262</v>
      </c>
      <c r="B372">
        <v>0</v>
      </c>
      <c r="C372">
        <v>2</v>
      </c>
      <c r="D372" t="s">
        <v>541</v>
      </c>
      <c r="E372" t="s">
        <v>11</v>
      </c>
      <c r="F372">
        <v>21</v>
      </c>
      <c r="G372">
        <v>1</v>
      </c>
      <c r="H372">
        <v>0</v>
      </c>
      <c r="I372">
        <v>28133</v>
      </c>
      <c r="J372">
        <v>11.5</v>
      </c>
      <c r="L372" t="s">
        <v>15</v>
      </c>
    </row>
    <row r="373" spans="1:12" x14ac:dyDescent="0.35">
      <c r="A373">
        <v>1263</v>
      </c>
      <c r="B373">
        <v>1</v>
      </c>
      <c r="C373">
        <v>1</v>
      </c>
      <c r="D373" t="s">
        <v>542</v>
      </c>
      <c r="E373" t="s">
        <v>14</v>
      </c>
      <c r="F373">
        <v>31</v>
      </c>
      <c r="G373">
        <v>0</v>
      </c>
      <c r="H373">
        <v>0</v>
      </c>
      <c r="I373">
        <v>16966</v>
      </c>
      <c r="J373">
        <v>134.5</v>
      </c>
      <c r="K373" t="s">
        <v>543</v>
      </c>
      <c r="L373" t="s">
        <v>23</v>
      </c>
    </row>
    <row r="374" spans="1:12" x14ac:dyDescent="0.35">
      <c r="A374">
        <v>1264</v>
      </c>
      <c r="B374">
        <v>0</v>
      </c>
      <c r="C374">
        <v>1</v>
      </c>
      <c r="D374" t="s">
        <v>544</v>
      </c>
      <c r="E374" t="s">
        <v>11</v>
      </c>
      <c r="F374">
        <v>49</v>
      </c>
      <c r="G374">
        <v>0</v>
      </c>
      <c r="H374">
        <v>0</v>
      </c>
      <c r="I374">
        <v>112058</v>
      </c>
      <c r="J374">
        <v>0</v>
      </c>
      <c r="K374" t="s">
        <v>545</v>
      </c>
      <c r="L374" t="s">
        <v>15</v>
      </c>
    </row>
    <row r="375" spans="1:12" x14ac:dyDescent="0.35">
      <c r="A375">
        <v>1265</v>
      </c>
      <c r="B375">
        <v>0</v>
      </c>
      <c r="C375">
        <v>2</v>
      </c>
      <c r="D375" t="s">
        <v>546</v>
      </c>
      <c r="E375" t="s">
        <v>11</v>
      </c>
      <c r="F375">
        <v>44</v>
      </c>
      <c r="G375">
        <v>0</v>
      </c>
      <c r="H375">
        <v>0</v>
      </c>
      <c r="I375">
        <v>248746</v>
      </c>
      <c r="J375">
        <v>13</v>
      </c>
      <c r="L375" t="s">
        <v>15</v>
      </c>
    </row>
    <row r="376" spans="1:12" x14ac:dyDescent="0.35">
      <c r="A376">
        <v>1266</v>
      </c>
      <c r="B376">
        <v>1</v>
      </c>
      <c r="C376">
        <v>1</v>
      </c>
      <c r="D376" t="s">
        <v>547</v>
      </c>
      <c r="E376" t="s">
        <v>14</v>
      </c>
      <c r="F376">
        <v>54</v>
      </c>
      <c r="G376">
        <v>1</v>
      </c>
      <c r="H376">
        <v>1</v>
      </c>
      <c r="I376">
        <v>33638</v>
      </c>
      <c r="J376">
        <v>81.8583</v>
      </c>
      <c r="K376" t="s">
        <v>435</v>
      </c>
      <c r="L376" t="s">
        <v>15</v>
      </c>
    </row>
    <row r="377" spans="1:12" x14ac:dyDescent="0.35">
      <c r="A377">
        <v>1267</v>
      </c>
      <c r="B377">
        <v>1</v>
      </c>
      <c r="C377">
        <v>1</v>
      </c>
      <c r="D377" t="s">
        <v>548</v>
      </c>
      <c r="E377" t="s">
        <v>14</v>
      </c>
      <c r="F377">
        <v>45</v>
      </c>
      <c r="G377">
        <v>0</v>
      </c>
      <c r="H377">
        <v>0</v>
      </c>
      <c r="I377" t="s">
        <v>50</v>
      </c>
      <c r="J377">
        <v>262.375</v>
      </c>
      <c r="L377" t="s">
        <v>23</v>
      </c>
    </row>
    <row r="378" spans="1:12" x14ac:dyDescent="0.35">
      <c r="A378">
        <v>1268</v>
      </c>
      <c r="B378">
        <v>1</v>
      </c>
      <c r="C378">
        <v>3</v>
      </c>
      <c r="D378" t="s">
        <v>549</v>
      </c>
      <c r="E378" t="s">
        <v>14</v>
      </c>
      <c r="F378">
        <v>22</v>
      </c>
      <c r="G378">
        <v>2</v>
      </c>
      <c r="H378">
        <v>0</v>
      </c>
      <c r="I378">
        <v>315152</v>
      </c>
      <c r="J378">
        <v>8.6624999999999996</v>
      </c>
      <c r="L378" t="s">
        <v>15</v>
      </c>
    </row>
    <row r="379" spans="1:12" x14ac:dyDescent="0.35">
      <c r="A379">
        <v>1269</v>
      </c>
      <c r="B379">
        <v>0</v>
      </c>
      <c r="C379">
        <v>2</v>
      </c>
      <c r="D379" t="s">
        <v>550</v>
      </c>
      <c r="E379" t="s">
        <v>11</v>
      </c>
      <c r="F379">
        <v>21</v>
      </c>
      <c r="G379">
        <v>0</v>
      </c>
      <c r="H379">
        <v>0</v>
      </c>
      <c r="I379">
        <v>29107</v>
      </c>
      <c r="J379">
        <v>11.5</v>
      </c>
      <c r="L379" t="s">
        <v>15</v>
      </c>
    </row>
    <row r="380" spans="1:12" x14ac:dyDescent="0.35">
      <c r="A380">
        <v>1270</v>
      </c>
      <c r="B380">
        <v>0</v>
      </c>
      <c r="C380">
        <v>1</v>
      </c>
      <c r="D380" t="s">
        <v>551</v>
      </c>
      <c r="E380" t="s">
        <v>11</v>
      </c>
      <c r="F380">
        <v>55</v>
      </c>
      <c r="G380">
        <v>0</v>
      </c>
      <c r="H380">
        <v>0</v>
      </c>
      <c r="I380">
        <v>680</v>
      </c>
      <c r="J380">
        <v>50</v>
      </c>
      <c r="K380" t="s">
        <v>552</v>
      </c>
      <c r="L380" t="s">
        <v>15</v>
      </c>
    </row>
    <row r="381" spans="1:12" x14ac:dyDescent="0.35">
      <c r="A381">
        <v>1271</v>
      </c>
      <c r="B381">
        <v>0</v>
      </c>
      <c r="C381">
        <v>3</v>
      </c>
      <c r="D381" t="s">
        <v>553</v>
      </c>
      <c r="E381" t="s">
        <v>11</v>
      </c>
      <c r="F381">
        <v>5</v>
      </c>
      <c r="G381">
        <v>4</v>
      </c>
      <c r="H381">
        <v>2</v>
      </c>
      <c r="I381">
        <v>347077</v>
      </c>
      <c r="J381">
        <v>31.387499999999999</v>
      </c>
      <c r="L381" t="s">
        <v>15</v>
      </c>
    </row>
    <row r="382" spans="1:12" x14ac:dyDescent="0.35">
      <c r="A382">
        <v>1272</v>
      </c>
      <c r="B382">
        <v>0</v>
      </c>
      <c r="C382">
        <v>3</v>
      </c>
      <c r="D382" t="s">
        <v>554</v>
      </c>
      <c r="E382" t="s">
        <v>11</v>
      </c>
      <c r="G382">
        <v>0</v>
      </c>
      <c r="H382">
        <v>0</v>
      </c>
      <c r="I382">
        <v>366713</v>
      </c>
      <c r="J382">
        <v>7.75</v>
      </c>
      <c r="L382" t="s">
        <v>12</v>
      </c>
    </row>
    <row r="383" spans="1:12" x14ac:dyDescent="0.35">
      <c r="A383">
        <v>1273</v>
      </c>
      <c r="B383">
        <v>0</v>
      </c>
      <c r="C383">
        <v>3</v>
      </c>
      <c r="D383" t="s">
        <v>555</v>
      </c>
      <c r="E383" t="s">
        <v>11</v>
      </c>
      <c r="F383">
        <v>26</v>
      </c>
      <c r="G383">
        <v>0</v>
      </c>
      <c r="H383">
        <v>0</v>
      </c>
      <c r="I383">
        <v>330910</v>
      </c>
      <c r="J383">
        <v>7.8792</v>
      </c>
      <c r="L383" t="s">
        <v>12</v>
      </c>
    </row>
    <row r="384" spans="1:12" x14ac:dyDescent="0.35">
      <c r="A384">
        <v>1274</v>
      </c>
      <c r="B384">
        <v>1</v>
      </c>
      <c r="C384">
        <v>3</v>
      </c>
      <c r="D384" t="s">
        <v>556</v>
      </c>
      <c r="E384" t="s">
        <v>14</v>
      </c>
      <c r="G384">
        <v>0</v>
      </c>
      <c r="H384">
        <v>0</v>
      </c>
      <c r="I384">
        <v>364498</v>
      </c>
      <c r="J384">
        <v>14.5</v>
      </c>
      <c r="L384" t="s">
        <v>15</v>
      </c>
    </row>
    <row r="385" spans="1:12" x14ac:dyDescent="0.35">
      <c r="A385">
        <v>1275</v>
      </c>
      <c r="B385">
        <v>1</v>
      </c>
      <c r="C385">
        <v>3</v>
      </c>
      <c r="D385" t="s">
        <v>557</v>
      </c>
      <c r="E385" t="s">
        <v>14</v>
      </c>
      <c r="F385">
        <v>19</v>
      </c>
      <c r="G385">
        <v>1</v>
      </c>
      <c r="H385">
        <v>0</v>
      </c>
      <c r="I385">
        <v>376566</v>
      </c>
      <c r="J385">
        <v>16.100000000000001</v>
      </c>
      <c r="L385" t="s">
        <v>15</v>
      </c>
    </row>
    <row r="386" spans="1:12" x14ac:dyDescent="0.35">
      <c r="A386">
        <v>1276</v>
      </c>
      <c r="B386">
        <v>0</v>
      </c>
      <c r="C386">
        <v>2</v>
      </c>
      <c r="D386" t="s">
        <v>558</v>
      </c>
      <c r="E386" t="s">
        <v>11</v>
      </c>
      <c r="G386">
        <v>0</v>
      </c>
      <c r="H386">
        <v>0</v>
      </c>
      <c r="I386" t="s">
        <v>559</v>
      </c>
      <c r="J386">
        <v>12.875</v>
      </c>
      <c r="L386" t="s">
        <v>15</v>
      </c>
    </row>
    <row r="387" spans="1:12" x14ac:dyDescent="0.35">
      <c r="A387">
        <v>1277</v>
      </c>
      <c r="B387">
        <v>1</v>
      </c>
      <c r="C387">
        <v>2</v>
      </c>
      <c r="D387" t="s">
        <v>560</v>
      </c>
      <c r="E387" t="s">
        <v>14</v>
      </c>
      <c r="F387">
        <v>24</v>
      </c>
      <c r="G387">
        <v>1</v>
      </c>
      <c r="H387">
        <v>2</v>
      </c>
      <c r="I387">
        <v>220845</v>
      </c>
      <c r="J387">
        <v>65</v>
      </c>
      <c r="L387" t="s">
        <v>15</v>
      </c>
    </row>
    <row r="388" spans="1:12" x14ac:dyDescent="0.35">
      <c r="A388">
        <v>1278</v>
      </c>
      <c r="B388">
        <v>0</v>
      </c>
      <c r="C388">
        <v>3</v>
      </c>
      <c r="D388" t="s">
        <v>561</v>
      </c>
      <c r="E388" t="s">
        <v>11</v>
      </c>
      <c r="F388">
        <v>24</v>
      </c>
      <c r="G388">
        <v>0</v>
      </c>
      <c r="H388">
        <v>0</v>
      </c>
      <c r="I388">
        <v>349911</v>
      </c>
      <c r="J388">
        <v>7.7750000000000004</v>
      </c>
      <c r="L388" t="s">
        <v>15</v>
      </c>
    </row>
    <row r="389" spans="1:12" x14ac:dyDescent="0.35">
      <c r="A389">
        <v>1279</v>
      </c>
      <c r="B389">
        <v>0</v>
      </c>
      <c r="C389">
        <v>2</v>
      </c>
      <c r="D389" t="s">
        <v>562</v>
      </c>
      <c r="E389" t="s">
        <v>11</v>
      </c>
      <c r="F389">
        <v>57</v>
      </c>
      <c r="G389">
        <v>0</v>
      </c>
      <c r="H389">
        <v>0</v>
      </c>
      <c r="I389">
        <v>244346</v>
      </c>
      <c r="J389">
        <v>13</v>
      </c>
      <c r="L389" t="s">
        <v>15</v>
      </c>
    </row>
    <row r="390" spans="1:12" x14ac:dyDescent="0.35">
      <c r="A390">
        <v>1280</v>
      </c>
      <c r="B390">
        <v>0</v>
      </c>
      <c r="C390">
        <v>3</v>
      </c>
      <c r="D390" t="s">
        <v>563</v>
      </c>
      <c r="E390" t="s">
        <v>11</v>
      </c>
      <c r="F390">
        <v>21</v>
      </c>
      <c r="G390">
        <v>0</v>
      </c>
      <c r="H390">
        <v>0</v>
      </c>
      <c r="I390">
        <v>364858</v>
      </c>
      <c r="J390">
        <v>7.75</v>
      </c>
      <c r="L390" t="s">
        <v>12</v>
      </c>
    </row>
    <row r="391" spans="1:12" x14ac:dyDescent="0.35">
      <c r="A391">
        <v>1281</v>
      </c>
      <c r="B391">
        <v>0</v>
      </c>
      <c r="C391">
        <v>3</v>
      </c>
      <c r="D391" t="s">
        <v>564</v>
      </c>
      <c r="E391" t="s">
        <v>11</v>
      </c>
      <c r="F391">
        <v>6</v>
      </c>
      <c r="G391">
        <v>3</v>
      </c>
      <c r="H391">
        <v>1</v>
      </c>
      <c r="I391">
        <v>349909</v>
      </c>
      <c r="J391">
        <v>21.074999999999999</v>
      </c>
      <c r="L391" t="s">
        <v>15</v>
      </c>
    </row>
    <row r="392" spans="1:12" x14ac:dyDescent="0.35">
      <c r="A392">
        <v>1282</v>
      </c>
      <c r="B392">
        <v>0</v>
      </c>
      <c r="C392">
        <v>1</v>
      </c>
      <c r="D392" t="s">
        <v>565</v>
      </c>
      <c r="E392" t="s">
        <v>11</v>
      </c>
      <c r="F392">
        <v>23</v>
      </c>
      <c r="G392">
        <v>0</v>
      </c>
      <c r="H392">
        <v>0</v>
      </c>
      <c r="I392">
        <v>12749</v>
      </c>
      <c r="J392">
        <v>93.5</v>
      </c>
      <c r="K392" t="s">
        <v>566</v>
      </c>
      <c r="L392" t="s">
        <v>15</v>
      </c>
    </row>
    <row r="393" spans="1:12" x14ac:dyDescent="0.35">
      <c r="A393">
        <v>1283</v>
      </c>
      <c r="B393">
        <v>1</v>
      </c>
      <c r="C393">
        <v>1</v>
      </c>
      <c r="D393" t="s">
        <v>567</v>
      </c>
      <c r="E393" t="s">
        <v>14</v>
      </c>
      <c r="F393">
        <v>51</v>
      </c>
      <c r="G393">
        <v>0</v>
      </c>
      <c r="H393">
        <v>1</v>
      </c>
      <c r="I393" t="s">
        <v>568</v>
      </c>
      <c r="J393">
        <v>39.4</v>
      </c>
      <c r="K393" t="s">
        <v>569</v>
      </c>
      <c r="L393" t="s">
        <v>15</v>
      </c>
    </row>
    <row r="394" spans="1:12" x14ac:dyDescent="0.35">
      <c r="A394">
        <v>1284</v>
      </c>
      <c r="B394">
        <v>0</v>
      </c>
      <c r="C394">
        <v>3</v>
      </c>
      <c r="D394" t="s">
        <v>570</v>
      </c>
      <c r="E394" t="s">
        <v>11</v>
      </c>
      <c r="F394">
        <v>13</v>
      </c>
      <c r="G394">
        <v>0</v>
      </c>
      <c r="H394">
        <v>2</v>
      </c>
      <c r="I394" t="s">
        <v>571</v>
      </c>
      <c r="J394">
        <v>20.25</v>
      </c>
      <c r="L394" t="s">
        <v>15</v>
      </c>
    </row>
    <row r="395" spans="1:12" x14ac:dyDescent="0.35">
      <c r="A395">
        <v>1285</v>
      </c>
      <c r="B395">
        <v>0</v>
      </c>
      <c r="C395">
        <v>2</v>
      </c>
      <c r="D395" t="s">
        <v>572</v>
      </c>
      <c r="E395" t="s">
        <v>11</v>
      </c>
      <c r="F395">
        <v>47</v>
      </c>
      <c r="G395">
        <v>0</v>
      </c>
      <c r="H395">
        <v>0</v>
      </c>
      <c r="I395" t="s">
        <v>573</v>
      </c>
      <c r="J395">
        <v>10.5</v>
      </c>
      <c r="L395" t="s">
        <v>15</v>
      </c>
    </row>
    <row r="396" spans="1:12" x14ac:dyDescent="0.35">
      <c r="A396">
        <v>1286</v>
      </c>
      <c r="B396">
        <v>0</v>
      </c>
      <c r="C396">
        <v>3</v>
      </c>
      <c r="D396" t="s">
        <v>574</v>
      </c>
      <c r="E396" t="s">
        <v>11</v>
      </c>
      <c r="F396">
        <v>29</v>
      </c>
      <c r="G396">
        <v>3</v>
      </c>
      <c r="H396">
        <v>1</v>
      </c>
      <c r="I396">
        <v>315153</v>
      </c>
      <c r="J396">
        <v>22.024999999999999</v>
      </c>
      <c r="L396" t="s">
        <v>15</v>
      </c>
    </row>
    <row r="397" spans="1:12" x14ac:dyDescent="0.35">
      <c r="A397">
        <v>1287</v>
      </c>
      <c r="B397">
        <v>1</v>
      </c>
      <c r="C397">
        <v>1</v>
      </c>
      <c r="D397" t="s">
        <v>575</v>
      </c>
      <c r="E397" t="s">
        <v>14</v>
      </c>
      <c r="F397">
        <v>18</v>
      </c>
      <c r="G397">
        <v>1</v>
      </c>
      <c r="H397">
        <v>0</v>
      </c>
      <c r="I397">
        <v>13695</v>
      </c>
      <c r="J397">
        <v>60</v>
      </c>
      <c r="K397" t="s">
        <v>94</v>
      </c>
      <c r="L397" t="s">
        <v>15</v>
      </c>
    </row>
    <row r="398" spans="1:12" x14ac:dyDescent="0.35">
      <c r="A398">
        <v>1288</v>
      </c>
      <c r="B398">
        <v>0</v>
      </c>
      <c r="C398">
        <v>3</v>
      </c>
      <c r="D398" t="s">
        <v>576</v>
      </c>
      <c r="E398" t="s">
        <v>11</v>
      </c>
      <c r="F398">
        <v>24</v>
      </c>
      <c r="G398">
        <v>0</v>
      </c>
      <c r="H398">
        <v>0</v>
      </c>
      <c r="I398">
        <v>371109</v>
      </c>
      <c r="J398">
        <v>7.25</v>
      </c>
      <c r="L398" t="s">
        <v>12</v>
      </c>
    </row>
    <row r="399" spans="1:12" x14ac:dyDescent="0.35">
      <c r="A399">
        <v>1289</v>
      </c>
      <c r="B399">
        <v>1</v>
      </c>
      <c r="C399">
        <v>1</v>
      </c>
      <c r="D399" t="s">
        <v>577</v>
      </c>
      <c r="E399" t="s">
        <v>14</v>
      </c>
      <c r="F399">
        <v>48</v>
      </c>
      <c r="G399">
        <v>1</v>
      </c>
      <c r="H399">
        <v>1</v>
      </c>
      <c r="I399">
        <v>13567</v>
      </c>
      <c r="J399">
        <v>79.2</v>
      </c>
      <c r="K399" t="s">
        <v>578</v>
      </c>
      <c r="L399" t="s">
        <v>23</v>
      </c>
    </row>
    <row r="400" spans="1:12" x14ac:dyDescent="0.35">
      <c r="A400">
        <v>1290</v>
      </c>
      <c r="B400">
        <v>0</v>
      </c>
      <c r="C400">
        <v>3</v>
      </c>
      <c r="D400" t="s">
        <v>579</v>
      </c>
      <c r="E400" t="s">
        <v>11</v>
      </c>
      <c r="F400">
        <v>22</v>
      </c>
      <c r="G400">
        <v>0</v>
      </c>
      <c r="H400">
        <v>0</v>
      </c>
      <c r="I400">
        <v>347065</v>
      </c>
      <c r="J400">
        <v>7.7750000000000004</v>
      </c>
      <c r="L400" t="s">
        <v>15</v>
      </c>
    </row>
    <row r="401" spans="1:12" x14ac:dyDescent="0.35">
      <c r="A401">
        <v>1291</v>
      </c>
      <c r="B401">
        <v>0</v>
      </c>
      <c r="C401">
        <v>3</v>
      </c>
      <c r="D401" t="s">
        <v>580</v>
      </c>
      <c r="E401" t="s">
        <v>11</v>
      </c>
      <c r="F401">
        <v>31</v>
      </c>
      <c r="G401">
        <v>0</v>
      </c>
      <c r="H401">
        <v>0</v>
      </c>
      <c r="I401">
        <v>21332</v>
      </c>
      <c r="J401">
        <v>7.7332999999999998</v>
      </c>
      <c r="L401" t="s">
        <v>12</v>
      </c>
    </row>
    <row r="402" spans="1:12" x14ac:dyDescent="0.35">
      <c r="A402">
        <v>1292</v>
      </c>
      <c r="B402">
        <v>1</v>
      </c>
      <c r="C402">
        <v>1</v>
      </c>
      <c r="D402" t="s">
        <v>581</v>
      </c>
      <c r="E402" t="s">
        <v>14</v>
      </c>
      <c r="F402">
        <v>30</v>
      </c>
      <c r="G402">
        <v>0</v>
      </c>
      <c r="H402">
        <v>0</v>
      </c>
      <c r="I402">
        <v>36928</v>
      </c>
      <c r="J402">
        <v>164.86670000000001</v>
      </c>
      <c r="K402" t="s">
        <v>582</v>
      </c>
      <c r="L402" t="s">
        <v>15</v>
      </c>
    </row>
    <row r="403" spans="1:12" x14ac:dyDescent="0.35">
      <c r="A403">
        <v>1293</v>
      </c>
      <c r="B403">
        <v>0</v>
      </c>
      <c r="C403">
        <v>2</v>
      </c>
      <c r="D403" t="s">
        <v>583</v>
      </c>
      <c r="E403" t="s">
        <v>11</v>
      </c>
      <c r="F403">
        <v>38</v>
      </c>
      <c r="G403">
        <v>1</v>
      </c>
      <c r="H403">
        <v>0</v>
      </c>
      <c r="I403">
        <v>28664</v>
      </c>
      <c r="J403">
        <v>21</v>
      </c>
      <c r="L403" t="s">
        <v>15</v>
      </c>
    </row>
    <row r="404" spans="1:12" x14ac:dyDescent="0.35">
      <c r="A404">
        <v>1294</v>
      </c>
      <c r="B404">
        <v>1</v>
      </c>
      <c r="C404">
        <v>1</v>
      </c>
      <c r="D404" t="s">
        <v>584</v>
      </c>
      <c r="E404" t="s">
        <v>14</v>
      </c>
      <c r="F404">
        <v>22</v>
      </c>
      <c r="G404">
        <v>0</v>
      </c>
      <c r="H404">
        <v>1</v>
      </c>
      <c r="I404">
        <v>112378</v>
      </c>
      <c r="J404">
        <v>59.4</v>
      </c>
      <c r="L404" t="s">
        <v>23</v>
      </c>
    </row>
    <row r="405" spans="1:12" x14ac:dyDescent="0.35">
      <c r="A405">
        <v>1295</v>
      </c>
      <c r="B405">
        <v>0</v>
      </c>
      <c r="C405">
        <v>1</v>
      </c>
      <c r="D405" t="s">
        <v>585</v>
      </c>
      <c r="E405" t="s">
        <v>11</v>
      </c>
      <c r="F405">
        <v>17</v>
      </c>
      <c r="G405">
        <v>0</v>
      </c>
      <c r="H405">
        <v>0</v>
      </c>
      <c r="I405">
        <v>113059</v>
      </c>
      <c r="J405">
        <v>47.1</v>
      </c>
      <c r="L405" t="s">
        <v>15</v>
      </c>
    </row>
    <row r="406" spans="1:12" x14ac:dyDescent="0.35">
      <c r="A406">
        <v>1296</v>
      </c>
      <c r="B406">
        <v>0</v>
      </c>
      <c r="C406">
        <v>1</v>
      </c>
      <c r="D406" t="s">
        <v>586</v>
      </c>
      <c r="E406" t="s">
        <v>11</v>
      </c>
      <c r="F406">
        <v>43</v>
      </c>
      <c r="G406">
        <v>1</v>
      </c>
      <c r="H406">
        <v>0</v>
      </c>
      <c r="I406">
        <v>17765</v>
      </c>
      <c r="J406">
        <v>27.720800000000001</v>
      </c>
      <c r="K406" t="s">
        <v>587</v>
      </c>
      <c r="L406" t="s">
        <v>23</v>
      </c>
    </row>
    <row r="407" spans="1:12" x14ac:dyDescent="0.35">
      <c r="A407">
        <v>1297</v>
      </c>
      <c r="B407">
        <v>0</v>
      </c>
      <c r="C407">
        <v>2</v>
      </c>
      <c r="D407" t="s">
        <v>588</v>
      </c>
      <c r="E407" t="s">
        <v>11</v>
      </c>
      <c r="F407">
        <v>20</v>
      </c>
      <c r="G407">
        <v>0</v>
      </c>
      <c r="H407">
        <v>0</v>
      </c>
      <c r="I407" t="s">
        <v>589</v>
      </c>
      <c r="J407">
        <v>13.862500000000001</v>
      </c>
      <c r="K407" t="s">
        <v>590</v>
      </c>
      <c r="L407" t="s">
        <v>23</v>
      </c>
    </row>
    <row r="408" spans="1:12" x14ac:dyDescent="0.35">
      <c r="A408">
        <v>1298</v>
      </c>
      <c r="B408">
        <v>0</v>
      </c>
      <c r="C408">
        <v>2</v>
      </c>
      <c r="D408" t="s">
        <v>591</v>
      </c>
      <c r="E408" t="s">
        <v>11</v>
      </c>
      <c r="F408">
        <v>23</v>
      </c>
      <c r="G408">
        <v>1</v>
      </c>
      <c r="H408">
        <v>0</v>
      </c>
      <c r="I408">
        <v>28666</v>
      </c>
      <c r="J408">
        <v>10.5</v>
      </c>
      <c r="L408" t="s">
        <v>15</v>
      </c>
    </row>
    <row r="409" spans="1:12" x14ac:dyDescent="0.35">
      <c r="A409">
        <v>1299</v>
      </c>
      <c r="B409">
        <v>0</v>
      </c>
      <c r="C409">
        <v>1</v>
      </c>
      <c r="D409" t="s">
        <v>592</v>
      </c>
      <c r="E409" t="s">
        <v>11</v>
      </c>
      <c r="F409">
        <v>50</v>
      </c>
      <c r="G409">
        <v>1</v>
      </c>
      <c r="H409">
        <v>1</v>
      </c>
      <c r="I409">
        <v>113503</v>
      </c>
      <c r="J409">
        <v>211.5</v>
      </c>
      <c r="K409" t="s">
        <v>332</v>
      </c>
      <c r="L409" t="s">
        <v>23</v>
      </c>
    </row>
    <row r="410" spans="1:12" x14ac:dyDescent="0.35">
      <c r="A410">
        <v>1300</v>
      </c>
      <c r="B410">
        <v>1</v>
      </c>
      <c r="C410">
        <v>3</v>
      </c>
      <c r="D410" t="s">
        <v>593</v>
      </c>
      <c r="E410" t="s">
        <v>14</v>
      </c>
      <c r="G410">
        <v>0</v>
      </c>
      <c r="H410">
        <v>0</v>
      </c>
      <c r="I410">
        <v>334915</v>
      </c>
      <c r="J410">
        <v>7.7207999999999997</v>
      </c>
      <c r="L410" t="s">
        <v>12</v>
      </c>
    </row>
    <row r="411" spans="1:12" x14ac:dyDescent="0.35">
      <c r="A411">
        <v>1301</v>
      </c>
      <c r="B411">
        <v>1</v>
      </c>
      <c r="C411">
        <v>3</v>
      </c>
      <c r="D411" t="s">
        <v>594</v>
      </c>
      <c r="E411" t="s">
        <v>14</v>
      </c>
      <c r="F411">
        <v>3</v>
      </c>
      <c r="G411">
        <v>1</v>
      </c>
      <c r="H411">
        <v>1</v>
      </c>
      <c r="I411" t="s">
        <v>245</v>
      </c>
      <c r="J411">
        <v>13.775</v>
      </c>
      <c r="L411" t="s">
        <v>15</v>
      </c>
    </row>
    <row r="412" spans="1:12" x14ac:dyDescent="0.35">
      <c r="A412">
        <v>1302</v>
      </c>
      <c r="B412">
        <v>1</v>
      </c>
      <c r="C412">
        <v>3</v>
      </c>
      <c r="D412" t="s">
        <v>595</v>
      </c>
      <c r="E412" t="s">
        <v>14</v>
      </c>
      <c r="G412">
        <v>0</v>
      </c>
      <c r="H412">
        <v>0</v>
      </c>
      <c r="I412">
        <v>365237</v>
      </c>
      <c r="J412">
        <v>7.75</v>
      </c>
      <c r="L412" t="s">
        <v>12</v>
      </c>
    </row>
    <row r="413" spans="1:12" x14ac:dyDescent="0.35">
      <c r="A413">
        <v>1303</v>
      </c>
      <c r="B413">
        <v>1</v>
      </c>
      <c r="C413">
        <v>1</v>
      </c>
      <c r="D413" t="s">
        <v>596</v>
      </c>
      <c r="E413" t="s">
        <v>14</v>
      </c>
      <c r="F413">
        <v>37</v>
      </c>
      <c r="G413">
        <v>1</v>
      </c>
      <c r="H413">
        <v>0</v>
      </c>
      <c r="I413">
        <v>19928</v>
      </c>
      <c r="J413">
        <v>90</v>
      </c>
      <c r="K413" t="s">
        <v>69</v>
      </c>
      <c r="L413" t="s">
        <v>12</v>
      </c>
    </row>
    <row r="414" spans="1:12" x14ac:dyDescent="0.35">
      <c r="A414">
        <v>1304</v>
      </c>
      <c r="B414">
        <v>1</v>
      </c>
      <c r="C414">
        <v>3</v>
      </c>
      <c r="D414" t="s">
        <v>597</v>
      </c>
      <c r="E414" t="s">
        <v>14</v>
      </c>
      <c r="F414">
        <v>28</v>
      </c>
      <c r="G414">
        <v>0</v>
      </c>
      <c r="H414">
        <v>0</v>
      </c>
      <c r="I414">
        <v>347086</v>
      </c>
      <c r="J414">
        <v>7.7750000000000004</v>
      </c>
      <c r="L414" t="s">
        <v>15</v>
      </c>
    </row>
    <row r="415" spans="1:12" x14ac:dyDescent="0.35">
      <c r="A415">
        <v>1305</v>
      </c>
      <c r="B415">
        <v>0</v>
      </c>
      <c r="C415">
        <v>3</v>
      </c>
      <c r="D415" t="s">
        <v>598</v>
      </c>
      <c r="E415" t="s">
        <v>11</v>
      </c>
      <c r="G415">
        <v>0</v>
      </c>
      <c r="H415">
        <v>0</v>
      </c>
      <c r="I415" t="s">
        <v>599</v>
      </c>
      <c r="J415">
        <v>8.0500000000000007</v>
      </c>
      <c r="L415" t="s">
        <v>15</v>
      </c>
    </row>
    <row r="416" spans="1:12" x14ac:dyDescent="0.35">
      <c r="A416">
        <v>1306</v>
      </c>
      <c r="B416">
        <v>1</v>
      </c>
      <c r="C416">
        <v>1</v>
      </c>
      <c r="D416" t="s">
        <v>600</v>
      </c>
      <c r="E416" t="s">
        <v>14</v>
      </c>
      <c r="F416">
        <v>39</v>
      </c>
      <c r="G416">
        <v>0</v>
      </c>
      <c r="H416">
        <v>0</v>
      </c>
      <c r="I416" t="s">
        <v>601</v>
      </c>
      <c r="J416">
        <v>108.9</v>
      </c>
      <c r="K416" t="s">
        <v>602</v>
      </c>
      <c r="L416" t="s">
        <v>23</v>
      </c>
    </row>
    <row r="417" spans="1:12" x14ac:dyDescent="0.35">
      <c r="A417">
        <v>1307</v>
      </c>
      <c r="B417">
        <v>0</v>
      </c>
      <c r="C417">
        <v>3</v>
      </c>
      <c r="D417" t="s">
        <v>603</v>
      </c>
      <c r="E417" t="s">
        <v>11</v>
      </c>
      <c r="F417">
        <v>38.5</v>
      </c>
      <c r="G417">
        <v>0</v>
      </c>
      <c r="H417">
        <v>0</v>
      </c>
      <c r="I417" t="s">
        <v>604</v>
      </c>
      <c r="J417">
        <v>7.25</v>
      </c>
      <c r="L417" t="s">
        <v>15</v>
      </c>
    </row>
    <row r="418" spans="1:12" x14ac:dyDescent="0.35">
      <c r="A418">
        <v>1308</v>
      </c>
      <c r="B418">
        <v>0</v>
      </c>
      <c r="C418">
        <v>3</v>
      </c>
      <c r="D418" t="s">
        <v>605</v>
      </c>
      <c r="E418" t="s">
        <v>11</v>
      </c>
      <c r="G418">
        <v>0</v>
      </c>
      <c r="H418">
        <v>0</v>
      </c>
      <c r="I418">
        <v>359309</v>
      </c>
      <c r="J418">
        <v>8.0500000000000007</v>
      </c>
      <c r="L418" t="s">
        <v>15</v>
      </c>
    </row>
    <row r="419" spans="1:12" x14ac:dyDescent="0.35">
      <c r="A419">
        <v>1309</v>
      </c>
      <c r="B419">
        <v>0</v>
      </c>
      <c r="C419">
        <v>3</v>
      </c>
      <c r="D419" t="s">
        <v>606</v>
      </c>
      <c r="E419" t="s">
        <v>11</v>
      </c>
      <c r="G419">
        <v>1</v>
      </c>
      <c r="H419">
        <v>1</v>
      </c>
      <c r="I419">
        <v>2668</v>
      </c>
      <c r="J419">
        <v>22.3583</v>
      </c>
      <c r="L419"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F75E-A0A0-4071-8EED-BD114B5F427A}">
  <dimension ref="A3:B7"/>
  <sheetViews>
    <sheetView workbookViewId="0">
      <selection activeCell="B16" sqref="B16"/>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v>1</v>
      </c>
      <c r="B4">
        <v>107</v>
      </c>
    </row>
    <row r="5" spans="1:2" x14ac:dyDescent="0.35">
      <c r="A5" s="3">
        <v>2</v>
      </c>
      <c r="B5">
        <v>93</v>
      </c>
    </row>
    <row r="6" spans="1:2" x14ac:dyDescent="0.35">
      <c r="A6" s="3">
        <v>3</v>
      </c>
      <c r="B6">
        <v>218</v>
      </c>
    </row>
    <row r="7" spans="1:2" x14ac:dyDescent="0.35">
      <c r="A7" s="3" t="s">
        <v>946</v>
      </c>
      <c r="B7">
        <v>418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359C-F24A-4B58-9810-A460C4AF8694}">
  <dimension ref="A3:B6"/>
  <sheetViews>
    <sheetView workbookViewId="0">
      <selection activeCell="M17" sqref="M17"/>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t="s">
        <v>14</v>
      </c>
      <c r="B4">
        <v>152</v>
      </c>
    </row>
    <row r="5" spans="1:2" x14ac:dyDescent="0.35">
      <c r="A5" s="3" t="s">
        <v>11</v>
      </c>
      <c r="B5">
        <v>266</v>
      </c>
    </row>
    <row r="6" spans="1:2" x14ac:dyDescent="0.35">
      <c r="A6" s="3" t="s">
        <v>946</v>
      </c>
      <c r="B6">
        <v>418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621C-D443-4FF9-9B8E-E24B925B1C10}">
  <dimension ref="A3:B8"/>
  <sheetViews>
    <sheetView workbookViewId="0">
      <selection activeCell="K9" sqref="K9"/>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t="s">
        <v>949</v>
      </c>
      <c r="B4">
        <v>14</v>
      </c>
    </row>
    <row r="5" spans="1:2" x14ac:dyDescent="0.35">
      <c r="A5" s="3" t="s">
        <v>950</v>
      </c>
      <c r="B5">
        <v>41</v>
      </c>
    </row>
    <row r="6" spans="1:2" x14ac:dyDescent="0.35">
      <c r="A6" s="3" t="s">
        <v>951</v>
      </c>
      <c r="B6">
        <v>144</v>
      </c>
    </row>
    <row r="7" spans="1:2" x14ac:dyDescent="0.35">
      <c r="A7" s="3" t="s">
        <v>948</v>
      </c>
      <c r="B7">
        <v>219</v>
      </c>
    </row>
    <row r="8" spans="1:2" x14ac:dyDescent="0.35">
      <c r="A8" s="3" t="s">
        <v>946</v>
      </c>
      <c r="B8">
        <v>418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1F18-C2D6-4AD3-B6AB-0985AACDE3DE}">
  <dimension ref="A3:B5"/>
  <sheetViews>
    <sheetView workbookViewId="0">
      <selection activeCell="K18" sqref="K18"/>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t="s">
        <v>952</v>
      </c>
      <c r="B4">
        <v>135</v>
      </c>
    </row>
    <row r="5" spans="1:2" x14ac:dyDescent="0.35">
      <c r="A5" s="3" t="s">
        <v>946</v>
      </c>
      <c r="B5">
        <v>135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295C-9936-416F-8AD5-E4DB5084D486}">
  <dimension ref="A1:P271"/>
  <sheetViews>
    <sheetView workbookViewId="0">
      <selection sqref="A1:P271"/>
    </sheetView>
  </sheetViews>
  <sheetFormatPr defaultRowHeight="14.5" x14ac:dyDescent="0.35"/>
  <cols>
    <col min="1" max="1" width="13.54296875" customWidth="1"/>
    <col min="2" max="2" width="9.90625" customWidth="1"/>
    <col min="6" max="6" width="12.36328125" customWidth="1"/>
    <col min="8" max="8" width="18.453125" customWidth="1"/>
    <col min="13" max="13" width="11.36328125" customWidth="1"/>
    <col min="15" max="15" width="13.81640625" customWidth="1"/>
    <col min="16" max="16" width="15.36328125" customWidth="1"/>
  </cols>
  <sheetData>
    <row r="1" spans="1:16" x14ac:dyDescent="0.35">
      <c r="A1" t="s">
        <v>607</v>
      </c>
      <c r="B1" t="s">
        <v>0</v>
      </c>
      <c r="C1" t="s">
        <v>1</v>
      </c>
      <c r="D1" t="s">
        <v>2</v>
      </c>
      <c r="E1" t="s">
        <v>3</v>
      </c>
      <c r="F1" t="s">
        <v>944</v>
      </c>
      <c r="G1" t="s">
        <v>4</v>
      </c>
      <c r="H1" t="s">
        <v>608</v>
      </c>
      <c r="I1" t="s">
        <v>5</v>
      </c>
      <c r="J1" t="s">
        <v>6</v>
      </c>
      <c r="K1" t="s">
        <v>7</v>
      </c>
      <c r="L1" t="s">
        <v>8</v>
      </c>
      <c r="M1" t="s">
        <v>9</v>
      </c>
      <c r="N1" t="s">
        <v>941</v>
      </c>
      <c r="O1" t="s">
        <v>942</v>
      </c>
      <c r="P1" t="s">
        <v>943</v>
      </c>
    </row>
    <row r="2" spans="1:16" x14ac:dyDescent="0.35">
      <c r="A2">
        <v>1308</v>
      </c>
      <c r="B2">
        <v>0</v>
      </c>
      <c r="C2">
        <v>3</v>
      </c>
      <c r="D2" t="s">
        <v>605</v>
      </c>
      <c r="E2" t="s">
        <v>11</v>
      </c>
      <c r="F2" t="s">
        <v>948</v>
      </c>
      <c r="G2">
        <v>30.2</v>
      </c>
      <c r="H2">
        <v>0</v>
      </c>
      <c r="I2">
        <v>0</v>
      </c>
      <c r="J2" t="s">
        <v>939</v>
      </c>
      <c r="K2">
        <v>8.0500000000000007</v>
      </c>
      <c r="M2" t="s">
        <v>15</v>
      </c>
      <c r="N2" t="s">
        <v>960</v>
      </c>
      <c r="O2" t="s">
        <v>960</v>
      </c>
      <c r="P2" t="s">
        <v>960</v>
      </c>
    </row>
    <row r="3" spans="1:16" x14ac:dyDescent="0.35">
      <c r="A3">
        <v>893</v>
      </c>
      <c r="B3">
        <v>1</v>
      </c>
      <c r="C3">
        <v>3</v>
      </c>
      <c r="D3" t="s">
        <v>13</v>
      </c>
      <c r="E3" t="s">
        <v>14</v>
      </c>
      <c r="F3" t="s">
        <v>948</v>
      </c>
      <c r="G3">
        <v>47</v>
      </c>
      <c r="H3">
        <v>1</v>
      </c>
      <c r="I3">
        <v>0</v>
      </c>
      <c r="J3" t="s">
        <v>620</v>
      </c>
      <c r="K3">
        <v>7</v>
      </c>
      <c r="M3" t="s">
        <v>15</v>
      </c>
      <c r="N3" t="s">
        <v>960</v>
      </c>
      <c r="O3" t="s">
        <v>952</v>
      </c>
      <c r="P3" t="s">
        <v>960</v>
      </c>
    </row>
    <row r="4" spans="1:16" x14ac:dyDescent="0.35">
      <c r="A4">
        <v>1307</v>
      </c>
      <c r="B4">
        <v>0</v>
      </c>
      <c r="C4">
        <v>3</v>
      </c>
      <c r="D4" t="s">
        <v>603</v>
      </c>
      <c r="E4" t="s">
        <v>11</v>
      </c>
      <c r="F4" t="s">
        <v>948</v>
      </c>
      <c r="G4">
        <v>38.5</v>
      </c>
      <c r="H4">
        <v>0</v>
      </c>
      <c r="I4">
        <v>0</v>
      </c>
      <c r="J4" t="s">
        <v>938</v>
      </c>
      <c r="K4">
        <v>7.25</v>
      </c>
      <c r="M4" t="s">
        <v>15</v>
      </c>
      <c r="N4" t="s">
        <v>960</v>
      </c>
      <c r="O4" t="s">
        <v>960</v>
      </c>
      <c r="P4" t="s">
        <v>960</v>
      </c>
    </row>
    <row r="5" spans="1:16" x14ac:dyDescent="0.35">
      <c r="A5">
        <v>895</v>
      </c>
      <c r="B5">
        <v>0</v>
      </c>
      <c r="C5">
        <v>3</v>
      </c>
      <c r="D5" t="s">
        <v>17</v>
      </c>
      <c r="E5" t="s">
        <v>11</v>
      </c>
      <c r="F5" t="s">
        <v>951</v>
      </c>
      <c r="G5">
        <v>27</v>
      </c>
      <c r="H5">
        <v>0</v>
      </c>
      <c r="I5">
        <v>0</v>
      </c>
      <c r="J5" t="s">
        <v>622</v>
      </c>
      <c r="K5">
        <v>8.6624999999999996</v>
      </c>
      <c r="M5" t="s">
        <v>15</v>
      </c>
      <c r="N5" t="s">
        <v>960</v>
      </c>
      <c r="O5" t="s">
        <v>960</v>
      </c>
      <c r="P5" t="s">
        <v>960</v>
      </c>
    </row>
    <row r="6" spans="1:16" x14ac:dyDescent="0.35">
      <c r="A6">
        <v>896</v>
      </c>
      <c r="B6">
        <v>1</v>
      </c>
      <c r="C6">
        <v>3</v>
      </c>
      <c r="D6" t="s">
        <v>18</v>
      </c>
      <c r="E6" t="s">
        <v>14</v>
      </c>
      <c r="F6" t="s">
        <v>951</v>
      </c>
      <c r="G6">
        <v>22</v>
      </c>
      <c r="H6">
        <v>1</v>
      </c>
      <c r="I6">
        <v>1</v>
      </c>
      <c r="J6" t="s">
        <v>623</v>
      </c>
      <c r="K6">
        <v>12.2875</v>
      </c>
      <c r="M6" t="s">
        <v>15</v>
      </c>
      <c r="N6" t="s">
        <v>960</v>
      </c>
      <c r="O6" t="s">
        <v>952</v>
      </c>
      <c r="P6" t="s">
        <v>952</v>
      </c>
    </row>
    <row r="7" spans="1:16" x14ac:dyDescent="0.35">
      <c r="A7">
        <v>897</v>
      </c>
      <c r="B7">
        <v>0</v>
      </c>
      <c r="C7">
        <v>3</v>
      </c>
      <c r="D7" t="s">
        <v>19</v>
      </c>
      <c r="E7" t="s">
        <v>11</v>
      </c>
      <c r="F7" t="s">
        <v>950</v>
      </c>
      <c r="G7">
        <v>14</v>
      </c>
      <c r="H7">
        <v>0</v>
      </c>
      <c r="I7">
        <v>0</v>
      </c>
      <c r="J7" t="s">
        <v>624</v>
      </c>
      <c r="K7">
        <v>9.2249999999999996</v>
      </c>
      <c r="M7" t="s">
        <v>15</v>
      </c>
      <c r="N7" t="s">
        <v>952</v>
      </c>
      <c r="O7" t="s">
        <v>960</v>
      </c>
      <c r="P7" t="s">
        <v>960</v>
      </c>
    </row>
    <row r="8" spans="1:16" x14ac:dyDescent="0.35">
      <c r="A8">
        <v>1305</v>
      </c>
      <c r="B8">
        <v>0</v>
      </c>
      <c r="C8">
        <v>3</v>
      </c>
      <c r="D8" t="s">
        <v>598</v>
      </c>
      <c r="E8" t="s">
        <v>11</v>
      </c>
      <c r="F8" t="s">
        <v>948</v>
      </c>
      <c r="G8">
        <v>30.2</v>
      </c>
      <c r="H8">
        <v>0</v>
      </c>
      <c r="I8">
        <v>0</v>
      </c>
      <c r="J8" t="s">
        <v>599</v>
      </c>
      <c r="K8">
        <v>8.0500000000000007</v>
      </c>
      <c r="M8" t="s">
        <v>15</v>
      </c>
      <c r="N8" t="s">
        <v>960</v>
      </c>
      <c r="O8" t="s">
        <v>960</v>
      </c>
      <c r="P8" t="s">
        <v>960</v>
      </c>
    </row>
    <row r="9" spans="1:16" x14ac:dyDescent="0.35">
      <c r="A9">
        <v>899</v>
      </c>
      <c r="B9">
        <v>0</v>
      </c>
      <c r="C9">
        <v>2</v>
      </c>
      <c r="D9" t="s">
        <v>21</v>
      </c>
      <c r="E9" t="s">
        <v>11</v>
      </c>
      <c r="F9" t="s">
        <v>951</v>
      </c>
      <c r="G9">
        <v>26</v>
      </c>
      <c r="H9">
        <v>1</v>
      </c>
      <c r="I9">
        <v>1</v>
      </c>
      <c r="J9" t="s">
        <v>626</v>
      </c>
      <c r="K9">
        <v>29</v>
      </c>
      <c r="M9" t="s">
        <v>15</v>
      </c>
      <c r="N9" t="s">
        <v>960</v>
      </c>
      <c r="O9" t="s">
        <v>952</v>
      </c>
      <c r="P9" t="s">
        <v>952</v>
      </c>
    </row>
    <row r="10" spans="1:16" x14ac:dyDescent="0.35">
      <c r="A10">
        <v>1304</v>
      </c>
      <c r="B10">
        <v>1</v>
      </c>
      <c r="C10">
        <v>3</v>
      </c>
      <c r="D10" t="s">
        <v>597</v>
      </c>
      <c r="E10" t="s">
        <v>14</v>
      </c>
      <c r="F10" t="s">
        <v>951</v>
      </c>
      <c r="G10">
        <v>28</v>
      </c>
      <c r="H10">
        <v>0</v>
      </c>
      <c r="I10">
        <v>0</v>
      </c>
      <c r="J10" t="s">
        <v>936</v>
      </c>
      <c r="K10">
        <v>7.7750000000000004</v>
      </c>
      <c r="M10" t="s">
        <v>15</v>
      </c>
      <c r="N10" t="s">
        <v>960</v>
      </c>
      <c r="O10" t="s">
        <v>960</v>
      </c>
      <c r="P10" t="s">
        <v>960</v>
      </c>
    </row>
    <row r="11" spans="1:16" x14ac:dyDescent="0.35">
      <c r="A11">
        <v>901</v>
      </c>
      <c r="B11">
        <v>0</v>
      </c>
      <c r="C11">
        <v>3</v>
      </c>
      <c r="D11" t="s">
        <v>24</v>
      </c>
      <c r="E11" t="s">
        <v>11</v>
      </c>
      <c r="F11" t="s">
        <v>951</v>
      </c>
      <c r="G11">
        <v>21</v>
      </c>
      <c r="H11">
        <v>2</v>
      </c>
      <c r="I11">
        <v>0</v>
      </c>
      <c r="J11" t="s">
        <v>25</v>
      </c>
      <c r="K11">
        <v>24.15</v>
      </c>
      <c r="M11" t="s">
        <v>15</v>
      </c>
      <c r="N11" t="s">
        <v>960</v>
      </c>
      <c r="O11" t="s">
        <v>952</v>
      </c>
      <c r="P11" t="s">
        <v>960</v>
      </c>
    </row>
    <row r="12" spans="1:16" x14ac:dyDescent="0.35">
      <c r="A12">
        <v>902</v>
      </c>
      <c r="B12">
        <v>0</v>
      </c>
      <c r="C12">
        <v>3</v>
      </c>
      <c r="D12" t="s">
        <v>26</v>
      </c>
      <c r="E12" t="s">
        <v>11</v>
      </c>
      <c r="F12" t="s">
        <v>948</v>
      </c>
      <c r="G12">
        <v>30.2</v>
      </c>
      <c r="H12">
        <v>0</v>
      </c>
      <c r="I12">
        <v>0</v>
      </c>
      <c r="J12" t="s">
        <v>628</v>
      </c>
      <c r="K12">
        <v>7.8958000000000004</v>
      </c>
      <c r="M12" t="s">
        <v>15</v>
      </c>
      <c r="N12" t="s">
        <v>960</v>
      </c>
      <c r="O12" t="s">
        <v>960</v>
      </c>
      <c r="P12" t="s">
        <v>960</v>
      </c>
    </row>
    <row r="13" spans="1:16" x14ac:dyDescent="0.35">
      <c r="A13">
        <v>903</v>
      </c>
      <c r="B13">
        <v>0</v>
      </c>
      <c r="C13">
        <v>1</v>
      </c>
      <c r="D13" t="s">
        <v>27</v>
      </c>
      <c r="E13" t="s">
        <v>11</v>
      </c>
      <c r="F13" t="s">
        <v>948</v>
      </c>
      <c r="G13">
        <v>46</v>
      </c>
      <c r="H13">
        <v>0</v>
      </c>
      <c r="I13">
        <v>0</v>
      </c>
      <c r="J13" t="s">
        <v>629</v>
      </c>
      <c r="K13">
        <v>26</v>
      </c>
      <c r="M13" t="s">
        <v>15</v>
      </c>
      <c r="N13" t="s">
        <v>960</v>
      </c>
      <c r="O13" t="s">
        <v>960</v>
      </c>
      <c r="P13" t="s">
        <v>960</v>
      </c>
    </row>
    <row r="14" spans="1:16" x14ac:dyDescent="0.35">
      <c r="A14">
        <v>904</v>
      </c>
      <c r="B14">
        <v>1</v>
      </c>
      <c r="C14">
        <v>1</v>
      </c>
      <c r="D14" t="s">
        <v>28</v>
      </c>
      <c r="E14" t="s">
        <v>14</v>
      </c>
      <c r="F14" t="s">
        <v>951</v>
      </c>
      <c r="G14">
        <v>23</v>
      </c>
      <c r="H14">
        <v>1</v>
      </c>
      <c r="I14">
        <v>0</v>
      </c>
      <c r="J14" t="s">
        <v>630</v>
      </c>
      <c r="K14">
        <v>82.2667</v>
      </c>
      <c r="L14" t="s">
        <v>29</v>
      </c>
      <c r="M14" t="s">
        <v>15</v>
      </c>
      <c r="N14" t="s">
        <v>960</v>
      </c>
      <c r="O14" t="s">
        <v>952</v>
      </c>
      <c r="P14" t="s">
        <v>960</v>
      </c>
    </row>
    <row r="15" spans="1:16" x14ac:dyDescent="0.35">
      <c r="A15">
        <v>905</v>
      </c>
      <c r="B15">
        <v>0</v>
      </c>
      <c r="C15">
        <v>2</v>
      </c>
      <c r="D15" t="s">
        <v>30</v>
      </c>
      <c r="E15" t="s">
        <v>11</v>
      </c>
      <c r="F15" t="s">
        <v>949</v>
      </c>
      <c r="G15">
        <v>63</v>
      </c>
      <c r="H15">
        <v>1</v>
      </c>
      <c r="I15">
        <v>0</v>
      </c>
      <c r="J15" t="s">
        <v>631</v>
      </c>
      <c r="K15">
        <v>26</v>
      </c>
      <c r="M15" t="s">
        <v>15</v>
      </c>
      <c r="N15" t="s">
        <v>960</v>
      </c>
      <c r="O15" t="s">
        <v>952</v>
      </c>
      <c r="P15" t="s">
        <v>960</v>
      </c>
    </row>
    <row r="16" spans="1:16" x14ac:dyDescent="0.35">
      <c r="A16">
        <v>906</v>
      </c>
      <c r="B16">
        <v>1</v>
      </c>
      <c r="C16">
        <v>1</v>
      </c>
      <c r="D16" t="s">
        <v>31</v>
      </c>
      <c r="E16" t="s">
        <v>14</v>
      </c>
      <c r="F16" t="s">
        <v>948</v>
      </c>
      <c r="G16">
        <v>47</v>
      </c>
      <c r="H16">
        <v>1</v>
      </c>
      <c r="I16">
        <v>0</v>
      </c>
      <c r="J16" t="s">
        <v>32</v>
      </c>
      <c r="K16">
        <v>61.174999999999997</v>
      </c>
      <c r="L16" t="s">
        <v>33</v>
      </c>
      <c r="M16" t="s">
        <v>15</v>
      </c>
      <c r="N16" t="s">
        <v>960</v>
      </c>
      <c r="O16" t="s">
        <v>952</v>
      </c>
      <c r="P16" t="s">
        <v>960</v>
      </c>
    </row>
    <row r="17" spans="1:16" x14ac:dyDescent="0.35">
      <c r="A17">
        <v>1301</v>
      </c>
      <c r="B17">
        <v>1</v>
      </c>
      <c r="C17">
        <v>3</v>
      </c>
      <c r="D17" t="s">
        <v>594</v>
      </c>
      <c r="E17" t="s">
        <v>14</v>
      </c>
      <c r="F17" t="s">
        <v>950</v>
      </c>
      <c r="G17">
        <v>3</v>
      </c>
      <c r="H17">
        <v>1</v>
      </c>
      <c r="I17">
        <v>1</v>
      </c>
      <c r="J17" t="s">
        <v>754</v>
      </c>
      <c r="K17">
        <v>13.775</v>
      </c>
      <c r="M17" t="s">
        <v>15</v>
      </c>
      <c r="N17" t="s">
        <v>952</v>
      </c>
      <c r="O17" t="s">
        <v>952</v>
      </c>
      <c r="P17" t="s">
        <v>952</v>
      </c>
    </row>
    <row r="18" spans="1:16" x14ac:dyDescent="0.35">
      <c r="A18">
        <v>1298</v>
      </c>
      <c r="B18">
        <v>0</v>
      </c>
      <c r="C18">
        <v>2</v>
      </c>
      <c r="D18" t="s">
        <v>591</v>
      </c>
      <c r="E18" t="s">
        <v>11</v>
      </c>
      <c r="F18" t="s">
        <v>951</v>
      </c>
      <c r="G18">
        <v>23</v>
      </c>
      <c r="H18">
        <v>1</v>
      </c>
      <c r="I18">
        <v>0</v>
      </c>
      <c r="J18" t="s">
        <v>932</v>
      </c>
      <c r="K18">
        <v>10.5</v>
      </c>
      <c r="M18" t="s">
        <v>15</v>
      </c>
      <c r="N18" t="s">
        <v>960</v>
      </c>
      <c r="O18" t="s">
        <v>952</v>
      </c>
      <c r="P18" t="s">
        <v>960</v>
      </c>
    </row>
    <row r="19" spans="1:16" x14ac:dyDescent="0.35">
      <c r="A19">
        <v>1295</v>
      </c>
      <c r="B19">
        <v>0</v>
      </c>
      <c r="C19">
        <v>1</v>
      </c>
      <c r="D19" t="s">
        <v>585</v>
      </c>
      <c r="E19" t="s">
        <v>11</v>
      </c>
      <c r="F19" t="s">
        <v>950</v>
      </c>
      <c r="G19">
        <v>17</v>
      </c>
      <c r="H19">
        <v>0</v>
      </c>
      <c r="I19">
        <v>0</v>
      </c>
      <c r="J19" t="s">
        <v>929</v>
      </c>
      <c r="K19">
        <v>47.1</v>
      </c>
      <c r="M19" t="s">
        <v>15</v>
      </c>
      <c r="N19" t="s">
        <v>952</v>
      </c>
      <c r="O19" t="s">
        <v>960</v>
      </c>
      <c r="P19" t="s">
        <v>960</v>
      </c>
    </row>
    <row r="20" spans="1:16" x14ac:dyDescent="0.35">
      <c r="A20">
        <v>910</v>
      </c>
      <c r="B20">
        <v>1</v>
      </c>
      <c r="C20">
        <v>3</v>
      </c>
      <c r="D20" t="s">
        <v>38</v>
      </c>
      <c r="E20" t="s">
        <v>14</v>
      </c>
      <c r="F20" t="s">
        <v>951</v>
      </c>
      <c r="G20">
        <v>27</v>
      </c>
      <c r="H20">
        <v>1</v>
      </c>
      <c r="I20">
        <v>0</v>
      </c>
      <c r="J20" t="s">
        <v>635</v>
      </c>
      <c r="K20">
        <v>7.9249999999999998</v>
      </c>
      <c r="M20" t="s">
        <v>15</v>
      </c>
      <c r="N20" t="s">
        <v>960</v>
      </c>
      <c r="O20" t="s">
        <v>952</v>
      </c>
      <c r="P20" t="s">
        <v>960</v>
      </c>
    </row>
    <row r="21" spans="1:16" x14ac:dyDescent="0.35">
      <c r="A21">
        <v>1293</v>
      </c>
      <c r="B21">
        <v>0</v>
      </c>
      <c r="C21">
        <v>2</v>
      </c>
      <c r="D21" t="s">
        <v>583</v>
      </c>
      <c r="E21" t="s">
        <v>11</v>
      </c>
      <c r="F21" t="s">
        <v>948</v>
      </c>
      <c r="G21">
        <v>38</v>
      </c>
      <c r="H21">
        <v>1</v>
      </c>
      <c r="I21">
        <v>0</v>
      </c>
      <c r="J21" t="s">
        <v>928</v>
      </c>
      <c r="K21">
        <v>21</v>
      </c>
      <c r="M21" t="s">
        <v>15</v>
      </c>
      <c r="N21" t="s">
        <v>960</v>
      </c>
      <c r="O21" t="s">
        <v>952</v>
      </c>
      <c r="P21" t="s">
        <v>960</v>
      </c>
    </row>
    <row r="22" spans="1:16" x14ac:dyDescent="0.35">
      <c r="A22">
        <v>1292</v>
      </c>
      <c r="B22">
        <v>1</v>
      </c>
      <c r="C22">
        <v>1</v>
      </c>
      <c r="D22" t="s">
        <v>581</v>
      </c>
      <c r="E22" t="s">
        <v>14</v>
      </c>
      <c r="F22" t="s">
        <v>948</v>
      </c>
      <c r="G22">
        <v>30</v>
      </c>
      <c r="H22">
        <v>0</v>
      </c>
      <c r="I22">
        <v>0</v>
      </c>
      <c r="J22" t="s">
        <v>796</v>
      </c>
      <c r="K22">
        <v>164.86670000000001</v>
      </c>
      <c r="L22" t="s">
        <v>582</v>
      </c>
      <c r="M22" t="s">
        <v>15</v>
      </c>
      <c r="N22" t="s">
        <v>960</v>
      </c>
      <c r="O22" t="s">
        <v>960</v>
      </c>
      <c r="P22" t="s">
        <v>960</v>
      </c>
    </row>
    <row r="23" spans="1:16" x14ac:dyDescent="0.35">
      <c r="A23">
        <v>913</v>
      </c>
      <c r="B23">
        <v>0</v>
      </c>
      <c r="C23">
        <v>3</v>
      </c>
      <c r="D23" t="s">
        <v>43</v>
      </c>
      <c r="E23" t="s">
        <v>11</v>
      </c>
      <c r="F23" t="s">
        <v>950</v>
      </c>
      <c r="G23">
        <v>9</v>
      </c>
      <c r="H23">
        <v>0</v>
      </c>
      <c r="I23">
        <v>1</v>
      </c>
      <c r="J23" t="s">
        <v>44</v>
      </c>
      <c r="K23">
        <v>3.1707999999999998</v>
      </c>
      <c r="M23" t="s">
        <v>15</v>
      </c>
      <c r="N23" t="s">
        <v>952</v>
      </c>
      <c r="O23" t="s">
        <v>960</v>
      </c>
      <c r="P23" t="s">
        <v>952</v>
      </c>
    </row>
    <row r="24" spans="1:16" x14ac:dyDescent="0.35">
      <c r="A24">
        <v>914</v>
      </c>
      <c r="B24">
        <v>1</v>
      </c>
      <c r="C24">
        <v>1</v>
      </c>
      <c r="D24" t="s">
        <v>45</v>
      </c>
      <c r="E24" t="s">
        <v>14</v>
      </c>
      <c r="F24" t="s">
        <v>948</v>
      </c>
      <c r="G24">
        <v>30.2</v>
      </c>
      <c r="H24">
        <v>0</v>
      </c>
      <c r="I24">
        <v>0</v>
      </c>
      <c r="J24" t="s">
        <v>638</v>
      </c>
      <c r="K24">
        <v>31.683299999999999</v>
      </c>
      <c r="M24" t="s">
        <v>15</v>
      </c>
      <c r="N24" t="s">
        <v>960</v>
      </c>
      <c r="O24" t="s">
        <v>960</v>
      </c>
      <c r="P24" t="s">
        <v>960</v>
      </c>
    </row>
    <row r="25" spans="1:16" x14ac:dyDescent="0.35">
      <c r="A25">
        <v>1290</v>
      </c>
      <c r="B25">
        <v>0</v>
      </c>
      <c r="C25">
        <v>3</v>
      </c>
      <c r="D25" t="s">
        <v>579</v>
      </c>
      <c r="E25" t="s">
        <v>11</v>
      </c>
      <c r="F25" t="s">
        <v>951</v>
      </c>
      <c r="G25">
        <v>22</v>
      </c>
      <c r="H25">
        <v>0</v>
      </c>
      <c r="I25">
        <v>0</v>
      </c>
      <c r="J25" t="s">
        <v>926</v>
      </c>
      <c r="K25">
        <v>7.7750000000000004</v>
      </c>
      <c r="M25" t="s">
        <v>15</v>
      </c>
      <c r="N25" t="s">
        <v>960</v>
      </c>
      <c r="O25" t="s">
        <v>960</v>
      </c>
      <c r="P25" t="s">
        <v>960</v>
      </c>
    </row>
    <row r="26" spans="1:16" x14ac:dyDescent="0.35">
      <c r="A26">
        <v>1287</v>
      </c>
      <c r="B26">
        <v>1</v>
      </c>
      <c r="C26">
        <v>1</v>
      </c>
      <c r="D26" t="s">
        <v>575</v>
      </c>
      <c r="E26" t="s">
        <v>14</v>
      </c>
      <c r="F26" t="s">
        <v>951</v>
      </c>
      <c r="G26">
        <v>18</v>
      </c>
      <c r="H26">
        <v>1</v>
      </c>
      <c r="I26">
        <v>0</v>
      </c>
      <c r="J26" t="s">
        <v>661</v>
      </c>
      <c r="K26">
        <v>60</v>
      </c>
      <c r="L26" t="s">
        <v>94</v>
      </c>
      <c r="M26" t="s">
        <v>15</v>
      </c>
      <c r="N26" t="s">
        <v>960</v>
      </c>
      <c r="O26" t="s">
        <v>952</v>
      </c>
      <c r="P26" t="s">
        <v>960</v>
      </c>
    </row>
    <row r="27" spans="1:16" x14ac:dyDescent="0.35">
      <c r="A27">
        <v>917</v>
      </c>
      <c r="B27">
        <v>0</v>
      </c>
      <c r="C27">
        <v>3</v>
      </c>
      <c r="D27" t="s">
        <v>52</v>
      </c>
      <c r="E27" t="s">
        <v>11</v>
      </c>
      <c r="F27" t="s">
        <v>948</v>
      </c>
      <c r="G27">
        <v>50</v>
      </c>
      <c r="H27">
        <v>1</v>
      </c>
      <c r="I27">
        <v>0</v>
      </c>
      <c r="J27" t="s">
        <v>53</v>
      </c>
      <c r="K27">
        <v>14.5</v>
      </c>
      <c r="M27" t="s">
        <v>15</v>
      </c>
      <c r="N27" t="s">
        <v>960</v>
      </c>
      <c r="O27" t="s">
        <v>952</v>
      </c>
      <c r="P27" t="s">
        <v>960</v>
      </c>
    </row>
    <row r="28" spans="1:16" x14ac:dyDescent="0.35">
      <c r="A28">
        <v>1286</v>
      </c>
      <c r="B28">
        <v>0</v>
      </c>
      <c r="C28">
        <v>3</v>
      </c>
      <c r="D28" t="s">
        <v>574</v>
      </c>
      <c r="E28" t="s">
        <v>11</v>
      </c>
      <c r="F28" t="s">
        <v>951</v>
      </c>
      <c r="G28">
        <v>29</v>
      </c>
      <c r="H28">
        <v>3</v>
      </c>
      <c r="I28">
        <v>1</v>
      </c>
      <c r="J28" t="s">
        <v>760</v>
      </c>
      <c r="K28">
        <v>22.024999999999999</v>
      </c>
      <c r="M28" t="s">
        <v>15</v>
      </c>
      <c r="N28" t="s">
        <v>960</v>
      </c>
      <c r="O28" t="s">
        <v>952</v>
      </c>
      <c r="P28" t="s">
        <v>952</v>
      </c>
    </row>
    <row r="29" spans="1:16" x14ac:dyDescent="0.35">
      <c r="A29">
        <v>1285</v>
      </c>
      <c r="B29">
        <v>0</v>
      </c>
      <c r="C29">
        <v>2</v>
      </c>
      <c r="D29" t="s">
        <v>572</v>
      </c>
      <c r="E29" t="s">
        <v>11</v>
      </c>
      <c r="F29" t="s">
        <v>948</v>
      </c>
      <c r="G29">
        <v>47</v>
      </c>
      <c r="H29">
        <v>0</v>
      </c>
      <c r="I29">
        <v>0</v>
      </c>
      <c r="J29" t="s">
        <v>573</v>
      </c>
      <c r="K29">
        <v>10.5</v>
      </c>
      <c r="M29" t="s">
        <v>15</v>
      </c>
      <c r="N29" t="s">
        <v>960</v>
      </c>
      <c r="O29" t="s">
        <v>960</v>
      </c>
      <c r="P29" t="s">
        <v>960</v>
      </c>
    </row>
    <row r="30" spans="1:16" x14ac:dyDescent="0.35">
      <c r="A30">
        <v>920</v>
      </c>
      <c r="B30">
        <v>0</v>
      </c>
      <c r="C30">
        <v>1</v>
      </c>
      <c r="D30" t="s">
        <v>57</v>
      </c>
      <c r="E30" t="s">
        <v>11</v>
      </c>
      <c r="F30" t="s">
        <v>948</v>
      </c>
      <c r="G30">
        <v>41</v>
      </c>
      <c r="H30">
        <v>0</v>
      </c>
      <c r="I30">
        <v>0</v>
      </c>
      <c r="J30" t="s">
        <v>643</v>
      </c>
      <c r="K30">
        <v>30.5</v>
      </c>
      <c r="L30" t="s">
        <v>58</v>
      </c>
      <c r="M30" t="s">
        <v>15</v>
      </c>
      <c r="N30" t="s">
        <v>960</v>
      </c>
      <c r="O30" t="s">
        <v>960</v>
      </c>
      <c r="P30" t="s">
        <v>960</v>
      </c>
    </row>
    <row r="31" spans="1:16" x14ac:dyDescent="0.35">
      <c r="A31">
        <v>1284</v>
      </c>
      <c r="B31">
        <v>0</v>
      </c>
      <c r="C31">
        <v>3</v>
      </c>
      <c r="D31" t="s">
        <v>570</v>
      </c>
      <c r="E31" t="s">
        <v>11</v>
      </c>
      <c r="F31" t="s">
        <v>950</v>
      </c>
      <c r="G31">
        <v>13</v>
      </c>
      <c r="H31">
        <v>0</v>
      </c>
      <c r="I31">
        <v>2</v>
      </c>
      <c r="J31" t="s">
        <v>571</v>
      </c>
      <c r="K31">
        <v>20.25</v>
      </c>
      <c r="M31" t="s">
        <v>15</v>
      </c>
      <c r="N31" t="s">
        <v>952</v>
      </c>
      <c r="O31" t="s">
        <v>960</v>
      </c>
      <c r="P31" t="s">
        <v>952</v>
      </c>
    </row>
    <row r="32" spans="1:16" x14ac:dyDescent="0.35">
      <c r="A32">
        <v>922</v>
      </c>
      <c r="B32">
        <v>0</v>
      </c>
      <c r="C32">
        <v>2</v>
      </c>
      <c r="D32" t="s">
        <v>60</v>
      </c>
      <c r="E32" t="s">
        <v>11</v>
      </c>
      <c r="F32" t="s">
        <v>948</v>
      </c>
      <c r="G32">
        <v>50</v>
      </c>
      <c r="H32">
        <v>1</v>
      </c>
      <c r="I32">
        <v>0</v>
      </c>
      <c r="J32" t="s">
        <v>645</v>
      </c>
      <c r="K32">
        <v>26</v>
      </c>
      <c r="M32" t="s">
        <v>15</v>
      </c>
      <c r="N32" t="s">
        <v>960</v>
      </c>
      <c r="O32" t="s">
        <v>952</v>
      </c>
      <c r="P32" t="s">
        <v>960</v>
      </c>
    </row>
    <row r="33" spans="1:16" x14ac:dyDescent="0.35">
      <c r="A33">
        <v>923</v>
      </c>
      <c r="B33">
        <v>0</v>
      </c>
      <c r="C33">
        <v>2</v>
      </c>
      <c r="D33" t="s">
        <v>62</v>
      </c>
      <c r="E33" t="s">
        <v>11</v>
      </c>
      <c r="F33" t="s">
        <v>951</v>
      </c>
      <c r="G33">
        <v>24</v>
      </c>
      <c r="H33">
        <v>2</v>
      </c>
      <c r="I33">
        <v>0</v>
      </c>
      <c r="J33" t="s">
        <v>63</v>
      </c>
      <c r="K33">
        <v>31.5</v>
      </c>
      <c r="M33" t="s">
        <v>15</v>
      </c>
      <c r="N33" t="s">
        <v>960</v>
      </c>
      <c r="O33" t="s">
        <v>952</v>
      </c>
      <c r="P33" t="s">
        <v>960</v>
      </c>
    </row>
    <row r="34" spans="1:16" x14ac:dyDescent="0.35">
      <c r="A34">
        <v>924</v>
      </c>
      <c r="B34">
        <v>1</v>
      </c>
      <c r="C34">
        <v>3</v>
      </c>
      <c r="D34" t="s">
        <v>64</v>
      </c>
      <c r="E34" t="s">
        <v>14</v>
      </c>
      <c r="F34" t="s">
        <v>948</v>
      </c>
      <c r="G34">
        <v>33</v>
      </c>
      <c r="H34">
        <v>1</v>
      </c>
      <c r="I34">
        <v>2</v>
      </c>
      <c r="J34" t="s">
        <v>65</v>
      </c>
      <c r="K34">
        <v>20.574999999999999</v>
      </c>
      <c r="M34" t="s">
        <v>15</v>
      </c>
      <c r="N34" t="s">
        <v>960</v>
      </c>
      <c r="O34" t="s">
        <v>952</v>
      </c>
      <c r="P34" t="s">
        <v>952</v>
      </c>
    </row>
    <row r="35" spans="1:16" x14ac:dyDescent="0.35">
      <c r="A35">
        <v>925</v>
      </c>
      <c r="B35">
        <v>1</v>
      </c>
      <c r="C35">
        <v>3</v>
      </c>
      <c r="D35" t="s">
        <v>66</v>
      </c>
      <c r="E35" t="s">
        <v>14</v>
      </c>
      <c r="F35" t="s">
        <v>948</v>
      </c>
      <c r="G35">
        <v>30.2</v>
      </c>
      <c r="H35">
        <v>1</v>
      </c>
      <c r="I35">
        <v>2</v>
      </c>
      <c r="J35" t="s">
        <v>67</v>
      </c>
      <c r="K35">
        <v>23.45</v>
      </c>
      <c r="M35" t="s">
        <v>15</v>
      </c>
      <c r="N35" t="s">
        <v>960</v>
      </c>
      <c r="O35" t="s">
        <v>952</v>
      </c>
      <c r="P35" t="s">
        <v>952</v>
      </c>
    </row>
    <row r="36" spans="1:16" x14ac:dyDescent="0.35">
      <c r="A36">
        <v>1283</v>
      </c>
      <c r="B36">
        <v>1</v>
      </c>
      <c r="C36">
        <v>1</v>
      </c>
      <c r="D36" t="s">
        <v>567</v>
      </c>
      <c r="E36" t="s">
        <v>14</v>
      </c>
      <c r="F36" t="s">
        <v>948</v>
      </c>
      <c r="G36">
        <v>51</v>
      </c>
      <c r="H36">
        <v>0</v>
      </c>
      <c r="I36">
        <v>1</v>
      </c>
      <c r="J36" t="s">
        <v>923</v>
      </c>
      <c r="K36">
        <v>39.4</v>
      </c>
      <c r="L36" t="s">
        <v>569</v>
      </c>
      <c r="M36" t="s">
        <v>15</v>
      </c>
      <c r="N36" t="s">
        <v>960</v>
      </c>
      <c r="O36" t="s">
        <v>960</v>
      </c>
      <c r="P36" t="s">
        <v>952</v>
      </c>
    </row>
    <row r="37" spans="1:16" x14ac:dyDescent="0.35">
      <c r="A37">
        <v>1282</v>
      </c>
      <c r="B37">
        <v>0</v>
      </c>
      <c r="C37">
        <v>1</v>
      </c>
      <c r="D37" t="s">
        <v>565</v>
      </c>
      <c r="E37" t="s">
        <v>11</v>
      </c>
      <c r="F37" t="s">
        <v>951</v>
      </c>
      <c r="G37">
        <v>23</v>
      </c>
      <c r="H37">
        <v>0</v>
      </c>
      <c r="I37">
        <v>0</v>
      </c>
      <c r="J37" t="s">
        <v>861</v>
      </c>
      <c r="K37">
        <v>93.5</v>
      </c>
      <c r="L37" t="s">
        <v>566</v>
      </c>
      <c r="M37" t="s">
        <v>15</v>
      </c>
      <c r="N37" t="s">
        <v>960</v>
      </c>
      <c r="O37" t="s">
        <v>960</v>
      </c>
      <c r="P37" t="s">
        <v>960</v>
      </c>
    </row>
    <row r="38" spans="1:16" x14ac:dyDescent="0.35">
      <c r="A38">
        <v>928</v>
      </c>
      <c r="B38">
        <v>1</v>
      </c>
      <c r="C38">
        <v>3</v>
      </c>
      <c r="D38" t="s">
        <v>71</v>
      </c>
      <c r="E38" t="s">
        <v>14</v>
      </c>
      <c r="F38" t="s">
        <v>948</v>
      </c>
      <c r="G38">
        <v>30.2</v>
      </c>
      <c r="H38">
        <v>0</v>
      </c>
      <c r="I38">
        <v>0</v>
      </c>
      <c r="J38" t="s">
        <v>648</v>
      </c>
      <c r="K38">
        <v>8.0500000000000007</v>
      </c>
      <c r="M38" t="s">
        <v>15</v>
      </c>
      <c r="N38" t="s">
        <v>960</v>
      </c>
      <c r="O38" t="s">
        <v>960</v>
      </c>
      <c r="P38" t="s">
        <v>960</v>
      </c>
    </row>
    <row r="39" spans="1:16" x14ac:dyDescent="0.35">
      <c r="A39">
        <v>929</v>
      </c>
      <c r="B39">
        <v>1</v>
      </c>
      <c r="C39">
        <v>3</v>
      </c>
      <c r="D39" t="s">
        <v>72</v>
      </c>
      <c r="E39" t="s">
        <v>14</v>
      </c>
      <c r="F39" t="s">
        <v>951</v>
      </c>
      <c r="G39">
        <v>21</v>
      </c>
      <c r="H39">
        <v>0</v>
      </c>
      <c r="I39">
        <v>0</v>
      </c>
      <c r="J39" t="s">
        <v>649</v>
      </c>
      <c r="K39">
        <v>8.6624999999999996</v>
      </c>
      <c r="M39" t="s">
        <v>15</v>
      </c>
      <c r="N39" t="s">
        <v>960</v>
      </c>
      <c r="O39" t="s">
        <v>960</v>
      </c>
      <c r="P39" t="s">
        <v>960</v>
      </c>
    </row>
    <row r="40" spans="1:16" x14ac:dyDescent="0.35">
      <c r="A40">
        <v>930</v>
      </c>
      <c r="B40">
        <v>0</v>
      </c>
      <c r="C40">
        <v>3</v>
      </c>
      <c r="D40" t="s">
        <v>73</v>
      </c>
      <c r="E40" t="s">
        <v>11</v>
      </c>
      <c r="F40" t="s">
        <v>951</v>
      </c>
      <c r="G40">
        <v>25</v>
      </c>
      <c r="H40">
        <v>0</v>
      </c>
      <c r="I40">
        <v>0</v>
      </c>
      <c r="J40" t="s">
        <v>650</v>
      </c>
      <c r="K40">
        <v>9.5</v>
      </c>
      <c r="M40" t="s">
        <v>15</v>
      </c>
      <c r="N40" t="s">
        <v>960</v>
      </c>
      <c r="O40" t="s">
        <v>960</v>
      </c>
      <c r="P40" t="s">
        <v>960</v>
      </c>
    </row>
    <row r="41" spans="1:16" x14ac:dyDescent="0.35">
      <c r="A41">
        <v>931</v>
      </c>
      <c r="B41">
        <v>0</v>
      </c>
      <c r="C41">
        <v>3</v>
      </c>
      <c r="D41" t="s">
        <v>74</v>
      </c>
      <c r="E41" t="s">
        <v>11</v>
      </c>
      <c r="F41" t="s">
        <v>948</v>
      </c>
      <c r="G41">
        <v>30.2</v>
      </c>
      <c r="H41">
        <v>0</v>
      </c>
      <c r="I41">
        <v>0</v>
      </c>
      <c r="J41" t="s">
        <v>651</v>
      </c>
      <c r="K41">
        <v>56.495800000000003</v>
      </c>
      <c r="M41" t="s">
        <v>15</v>
      </c>
      <c r="N41" t="s">
        <v>960</v>
      </c>
      <c r="O41" t="s">
        <v>960</v>
      </c>
      <c r="P41" t="s">
        <v>960</v>
      </c>
    </row>
    <row r="42" spans="1:16" x14ac:dyDescent="0.35">
      <c r="A42">
        <v>1281</v>
      </c>
      <c r="B42">
        <v>0</v>
      </c>
      <c r="C42">
        <v>3</v>
      </c>
      <c r="D42" t="s">
        <v>564</v>
      </c>
      <c r="E42" t="s">
        <v>11</v>
      </c>
      <c r="F42" t="s">
        <v>950</v>
      </c>
      <c r="G42">
        <v>6</v>
      </c>
      <c r="H42">
        <v>3</v>
      </c>
      <c r="I42">
        <v>1</v>
      </c>
      <c r="J42" t="s">
        <v>922</v>
      </c>
      <c r="K42">
        <v>21.074999999999999</v>
      </c>
      <c r="M42" t="s">
        <v>15</v>
      </c>
      <c r="N42" t="s">
        <v>952</v>
      </c>
      <c r="O42" t="s">
        <v>952</v>
      </c>
      <c r="P42" t="s">
        <v>952</v>
      </c>
    </row>
    <row r="43" spans="1:16" x14ac:dyDescent="0.35">
      <c r="A43">
        <v>933</v>
      </c>
      <c r="B43">
        <v>0</v>
      </c>
      <c r="C43">
        <v>1</v>
      </c>
      <c r="D43" t="s">
        <v>76</v>
      </c>
      <c r="E43" t="s">
        <v>11</v>
      </c>
      <c r="F43" t="s">
        <v>948</v>
      </c>
      <c r="G43">
        <v>30.2</v>
      </c>
      <c r="H43">
        <v>0</v>
      </c>
      <c r="I43">
        <v>0</v>
      </c>
      <c r="J43" t="s">
        <v>653</v>
      </c>
      <c r="K43">
        <v>26.55</v>
      </c>
      <c r="L43" t="s">
        <v>77</v>
      </c>
      <c r="M43" t="s">
        <v>15</v>
      </c>
      <c r="N43" t="s">
        <v>960</v>
      </c>
      <c r="O43" t="s">
        <v>960</v>
      </c>
      <c r="P43" t="s">
        <v>960</v>
      </c>
    </row>
    <row r="44" spans="1:16" x14ac:dyDescent="0.35">
      <c r="A44">
        <v>934</v>
      </c>
      <c r="B44">
        <v>0</v>
      </c>
      <c r="C44">
        <v>3</v>
      </c>
      <c r="D44" t="s">
        <v>78</v>
      </c>
      <c r="E44" t="s">
        <v>11</v>
      </c>
      <c r="F44" t="s">
        <v>948</v>
      </c>
      <c r="G44">
        <v>41</v>
      </c>
      <c r="H44">
        <v>0</v>
      </c>
      <c r="I44">
        <v>0</v>
      </c>
      <c r="J44" t="s">
        <v>654</v>
      </c>
      <c r="K44">
        <v>7.85</v>
      </c>
      <c r="M44" t="s">
        <v>15</v>
      </c>
      <c r="N44" t="s">
        <v>960</v>
      </c>
      <c r="O44" t="s">
        <v>960</v>
      </c>
      <c r="P44" t="s">
        <v>960</v>
      </c>
    </row>
    <row r="45" spans="1:16" x14ac:dyDescent="0.35">
      <c r="A45">
        <v>935</v>
      </c>
      <c r="B45">
        <v>1</v>
      </c>
      <c r="C45">
        <v>2</v>
      </c>
      <c r="D45" t="s">
        <v>80</v>
      </c>
      <c r="E45" t="s">
        <v>14</v>
      </c>
      <c r="F45" t="s">
        <v>948</v>
      </c>
      <c r="G45">
        <v>30</v>
      </c>
      <c r="H45">
        <v>0</v>
      </c>
      <c r="I45">
        <v>0</v>
      </c>
      <c r="J45" t="s">
        <v>655</v>
      </c>
      <c r="K45">
        <v>13</v>
      </c>
      <c r="M45" t="s">
        <v>15</v>
      </c>
      <c r="N45" t="s">
        <v>960</v>
      </c>
      <c r="O45" t="s">
        <v>960</v>
      </c>
      <c r="P45" t="s">
        <v>960</v>
      </c>
    </row>
    <row r="46" spans="1:16" x14ac:dyDescent="0.35">
      <c r="A46">
        <v>936</v>
      </c>
      <c r="B46">
        <v>1</v>
      </c>
      <c r="C46">
        <v>1</v>
      </c>
      <c r="D46" t="s">
        <v>81</v>
      </c>
      <c r="E46" t="s">
        <v>14</v>
      </c>
      <c r="F46" t="s">
        <v>948</v>
      </c>
      <c r="G46">
        <v>45</v>
      </c>
      <c r="H46">
        <v>1</v>
      </c>
      <c r="I46">
        <v>0</v>
      </c>
      <c r="J46" t="s">
        <v>656</v>
      </c>
      <c r="K46">
        <v>52.554200000000002</v>
      </c>
      <c r="L46" t="s">
        <v>82</v>
      </c>
      <c r="M46" t="s">
        <v>15</v>
      </c>
      <c r="N46" t="s">
        <v>960</v>
      </c>
      <c r="O46" t="s">
        <v>952</v>
      </c>
      <c r="P46" t="s">
        <v>960</v>
      </c>
    </row>
    <row r="47" spans="1:16" x14ac:dyDescent="0.35">
      <c r="A47">
        <v>937</v>
      </c>
      <c r="B47">
        <v>0</v>
      </c>
      <c r="C47">
        <v>3</v>
      </c>
      <c r="D47" t="s">
        <v>83</v>
      </c>
      <c r="E47" t="s">
        <v>11</v>
      </c>
      <c r="F47" t="s">
        <v>951</v>
      </c>
      <c r="G47">
        <v>25</v>
      </c>
      <c r="H47">
        <v>0</v>
      </c>
      <c r="I47">
        <v>0</v>
      </c>
      <c r="J47" t="s">
        <v>657</v>
      </c>
      <c r="K47">
        <v>7.9249999999999998</v>
      </c>
      <c r="M47" t="s">
        <v>15</v>
      </c>
      <c r="N47" t="s">
        <v>960</v>
      </c>
      <c r="O47" t="s">
        <v>960</v>
      </c>
      <c r="P47" t="s">
        <v>960</v>
      </c>
    </row>
    <row r="48" spans="1:16" x14ac:dyDescent="0.35">
      <c r="A48">
        <v>1279</v>
      </c>
      <c r="B48">
        <v>0</v>
      </c>
      <c r="C48">
        <v>2</v>
      </c>
      <c r="D48" t="s">
        <v>562</v>
      </c>
      <c r="E48" t="s">
        <v>11</v>
      </c>
      <c r="F48" t="s">
        <v>948</v>
      </c>
      <c r="G48">
        <v>57</v>
      </c>
      <c r="H48">
        <v>0</v>
      </c>
      <c r="I48">
        <v>0</v>
      </c>
      <c r="J48" t="s">
        <v>920</v>
      </c>
      <c r="K48">
        <v>13</v>
      </c>
      <c r="M48" t="s">
        <v>15</v>
      </c>
      <c r="N48" t="s">
        <v>960</v>
      </c>
      <c r="O48" t="s">
        <v>960</v>
      </c>
      <c r="P48" t="s">
        <v>960</v>
      </c>
    </row>
    <row r="49" spans="1:16" x14ac:dyDescent="0.35">
      <c r="A49">
        <v>1278</v>
      </c>
      <c r="B49">
        <v>0</v>
      </c>
      <c r="C49">
        <v>3</v>
      </c>
      <c r="D49" t="s">
        <v>561</v>
      </c>
      <c r="E49" t="s">
        <v>11</v>
      </c>
      <c r="F49" t="s">
        <v>951</v>
      </c>
      <c r="G49">
        <v>24</v>
      </c>
      <c r="H49">
        <v>0</v>
      </c>
      <c r="I49">
        <v>0</v>
      </c>
      <c r="J49" t="s">
        <v>919</v>
      </c>
      <c r="K49">
        <v>7.7750000000000004</v>
      </c>
      <c r="M49" t="s">
        <v>15</v>
      </c>
      <c r="N49" t="s">
        <v>960</v>
      </c>
      <c r="O49" t="s">
        <v>960</v>
      </c>
      <c r="P49" t="s">
        <v>960</v>
      </c>
    </row>
    <row r="50" spans="1:16" x14ac:dyDescent="0.35">
      <c r="A50">
        <v>1277</v>
      </c>
      <c r="B50">
        <v>1</v>
      </c>
      <c r="C50">
        <v>2</v>
      </c>
      <c r="D50" t="s">
        <v>560</v>
      </c>
      <c r="E50" t="s">
        <v>14</v>
      </c>
      <c r="F50" t="s">
        <v>951</v>
      </c>
      <c r="G50">
        <v>24</v>
      </c>
      <c r="H50">
        <v>1</v>
      </c>
      <c r="I50">
        <v>2</v>
      </c>
      <c r="J50" t="s">
        <v>806</v>
      </c>
      <c r="K50">
        <v>65</v>
      </c>
      <c r="M50" t="s">
        <v>15</v>
      </c>
      <c r="N50" t="s">
        <v>960</v>
      </c>
      <c r="O50" t="s">
        <v>952</v>
      </c>
      <c r="P50" t="s">
        <v>952</v>
      </c>
    </row>
    <row r="51" spans="1:16" x14ac:dyDescent="0.35">
      <c r="A51">
        <v>941</v>
      </c>
      <c r="B51">
        <v>1</v>
      </c>
      <c r="C51">
        <v>3</v>
      </c>
      <c r="D51" t="s">
        <v>91</v>
      </c>
      <c r="E51" t="s">
        <v>14</v>
      </c>
      <c r="F51" t="s">
        <v>948</v>
      </c>
      <c r="G51">
        <v>36</v>
      </c>
      <c r="H51">
        <v>0</v>
      </c>
      <c r="I51">
        <v>2</v>
      </c>
      <c r="J51" t="s">
        <v>92</v>
      </c>
      <c r="K51">
        <v>15.9</v>
      </c>
      <c r="M51" t="s">
        <v>15</v>
      </c>
      <c r="N51" t="s">
        <v>960</v>
      </c>
      <c r="O51" t="s">
        <v>960</v>
      </c>
      <c r="P51" t="s">
        <v>952</v>
      </c>
    </row>
    <row r="52" spans="1:16" x14ac:dyDescent="0.35">
      <c r="A52">
        <v>942</v>
      </c>
      <c r="B52">
        <v>0</v>
      </c>
      <c r="C52">
        <v>1</v>
      </c>
      <c r="D52" t="s">
        <v>93</v>
      </c>
      <c r="E52" t="s">
        <v>11</v>
      </c>
      <c r="F52" t="s">
        <v>951</v>
      </c>
      <c r="G52">
        <v>24</v>
      </c>
      <c r="H52">
        <v>1</v>
      </c>
      <c r="I52">
        <v>0</v>
      </c>
      <c r="J52" t="s">
        <v>661</v>
      </c>
      <c r="K52">
        <v>60</v>
      </c>
      <c r="L52" t="s">
        <v>94</v>
      </c>
      <c r="M52" t="s">
        <v>15</v>
      </c>
      <c r="N52" t="s">
        <v>960</v>
      </c>
      <c r="O52" t="s">
        <v>952</v>
      </c>
      <c r="P52" t="s">
        <v>960</v>
      </c>
    </row>
    <row r="53" spans="1:16" x14ac:dyDescent="0.35">
      <c r="A53">
        <v>1276</v>
      </c>
      <c r="B53">
        <v>0</v>
      </c>
      <c r="C53">
        <v>2</v>
      </c>
      <c r="D53" t="s">
        <v>558</v>
      </c>
      <c r="E53" t="s">
        <v>11</v>
      </c>
      <c r="F53" t="s">
        <v>948</v>
      </c>
      <c r="G53">
        <v>30.2</v>
      </c>
      <c r="H53">
        <v>0</v>
      </c>
      <c r="I53">
        <v>0</v>
      </c>
      <c r="J53" t="s">
        <v>918</v>
      </c>
      <c r="K53">
        <v>12.875</v>
      </c>
      <c r="M53" t="s">
        <v>15</v>
      </c>
      <c r="N53" t="s">
        <v>960</v>
      </c>
      <c r="O53" t="s">
        <v>960</v>
      </c>
      <c r="P53" t="s">
        <v>960</v>
      </c>
    </row>
    <row r="54" spans="1:16" x14ac:dyDescent="0.35">
      <c r="A54">
        <v>944</v>
      </c>
      <c r="B54">
        <v>1</v>
      </c>
      <c r="C54">
        <v>2</v>
      </c>
      <c r="D54" t="s">
        <v>97</v>
      </c>
      <c r="E54" t="s">
        <v>14</v>
      </c>
      <c r="F54" t="s">
        <v>951</v>
      </c>
      <c r="G54">
        <v>20</v>
      </c>
      <c r="H54">
        <v>2</v>
      </c>
      <c r="I54">
        <v>1</v>
      </c>
      <c r="J54" t="s">
        <v>663</v>
      </c>
      <c r="K54">
        <v>23</v>
      </c>
      <c r="M54" t="s">
        <v>15</v>
      </c>
      <c r="N54" t="s">
        <v>960</v>
      </c>
      <c r="O54" t="s">
        <v>952</v>
      </c>
      <c r="P54" t="s">
        <v>952</v>
      </c>
    </row>
    <row r="55" spans="1:16" x14ac:dyDescent="0.35">
      <c r="A55">
        <v>945</v>
      </c>
      <c r="B55">
        <v>1</v>
      </c>
      <c r="C55">
        <v>1</v>
      </c>
      <c r="D55" t="s">
        <v>98</v>
      </c>
      <c r="E55" t="s">
        <v>14</v>
      </c>
      <c r="F55" t="s">
        <v>951</v>
      </c>
      <c r="G55">
        <v>28</v>
      </c>
      <c r="H55">
        <v>3</v>
      </c>
      <c r="I55">
        <v>2</v>
      </c>
      <c r="J55" t="s">
        <v>664</v>
      </c>
      <c r="K55">
        <v>263</v>
      </c>
      <c r="L55" t="s">
        <v>99</v>
      </c>
      <c r="M55" t="s">
        <v>15</v>
      </c>
      <c r="N55" t="s">
        <v>960</v>
      </c>
      <c r="O55" t="s">
        <v>952</v>
      </c>
      <c r="P55" t="s">
        <v>952</v>
      </c>
    </row>
    <row r="56" spans="1:16" x14ac:dyDescent="0.35">
      <c r="A56">
        <v>1275</v>
      </c>
      <c r="B56">
        <v>1</v>
      </c>
      <c r="C56">
        <v>3</v>
      </c>
      <c r="D56" t="s">
        <v>557</v>
      </c>
      <c r="E56" t="s">
        <v>14</v>
      </c>
      <c r="F56" t="s">
        <v>951</v>
      </c>
      <c r="G56">
        <v>19</v>
      </c>
      <c r="H56">
        <v>1</v>
      </c>
      <c r="I56">
        <v>0</v>
      </c>
      <c r="J56" t="s">
        <v>917</v>
      </c>
      <c r="K56">
        <v>16.100000000000001</v>
      </c>
      <c r="M56" t="s">
        <v>15</v>
      </c>
      <c r="N56" t="s">
        <v>960</v>
      </c>
      <c r="O56" t="s">
        <v>952</v>
      </c>
      <c r="P56" t="s">
        <v>960</v>
      </c>
    </row>
    <row r="57" spans="1:16" x14ac:dyDescent="0.35">
      <c r="A57">
        <v>1274</v>
      </c>
      <c r="B57">
        <v>1</v>
      </c>
      <c r="C57">
        <v>3</v>
      </c>
      <c r="D57" t="s">
        <v>556</v>
      </c>
      <c r="E57" t="s">
        <v>14</v>
      </c>
      <c r="F57" t="s">
        <v>948</v>
      </c>
      <c r="G57">
        <v>30.2</v>
      </c>
      <c r="H57">
        <v>0</v>
      </c>
      <c r="I57">
        <v>0</v>
      </c>
      <c r="J57" t="s">
        <v>916</v>
      </c>
      <c r="K57">
        <v>14.5</v>
      </c>
      <c r="M57" t="s">
        <v>15</v>
      </c>
      <c r="N57" t="s">
        <v>960</v>
      </c>
      <c r="O57" t="s">
        <v>960</v>
      </c>
      <c r="P57" t="s">
        <v>960</v>
      </c>
    </row>
    <row r="58" spans="1:16" x14ac:dyDescent="0.35">
      <c r="A58">
        <v>948</v>
      </c>
      <c r="B58">
        <v>0</v>
      </c>
      <c r="C58">
        <v>3</v>
      </c>
      <c r="D58" t="s">
        <v>103</v>
      </c>
      <c r="E58" t="s">
        <v>11</v>
      </c>
      <c r="F58" t="s">
        <v>948</v>
      </c>
      <c r="G58">
        <v>35</v>
      </c>
      <c r="H58">
        <v>0</v>
      </c>
      <c r="I58">
        <v>0</v>
      </c>
      <c r="J58" t="s">
        <v>667</v>
      </c>
      <c r="K58">
        <v>7.8958000000000004</v>
      </c>
      <c r="M58" t="s">
        <v>15</v>
      </c>
      <c r="N58" t="s">
        <v>960</v>
      </c>
      <c r="O58" t="s">
        <v>960</v>
      </c>
      <c r="P58" t="s">
        <v>960</v>
      </c>
    </row>
    <row r="59" spans="1:16" x14ac:dyDescent="0.35">
      <c r="A59">
        <v>949</v>
      </c>
      <c r="B59">
        <v>0</v>
      </c>
      <c r="C59">
        <v>3</v>
      </c>
      <c r="D59" t="s">
        <v>104</v>
      </c>
      <c r="E59" t="s">
        <v>11</v>
      </c>
      <c r="F59" t="s">
        <v>951</v>
      </c>
      <c r="G59">
        <v>25</v>
      </c>
      <c r="H59">
        <v>0</v>
      </c>
      <c r="I59">
        <v>0</v>
      </c>
      <c r="J59" t="s">
        <v>668</v>
      </c>
      <c r="K59">
        <v>7.65</v>
      </c>
      <c r="L59" t="s">
        <v>105</v>
      </c>
      <c r="M59" t="s">
        <v>15</v>
      </c>
      <c r="N59" t="s">
        <v>960</v>
      </c>
      <c r="O59" t="s">
        <v>960</v>
      </c>
      <c r="P59" t="s">
        <v>960</v>
      </c>
    </row>
    <row r="60" spans="1:16" x14ac:dyDescent="0.35">
      <c r="A60">
        <v>950</v>
      </c>
      <c r="B60">
        <v>0</v>
      </c>
      <c r="C60">
        <v>3</v>
      </c>
      <c r="D60" t="s">
        <v>106</v>
      </c>
      <c r="E60" t="s">
        <v>11</v>
      </c>
      <c r="F60" t="s">
        <v>948</v>
      </c>
      <c r="G60">
        <v>30.2</v>
      </c>
      <c r="H60">
        <v>1</v>
      </c>
      <c r="I60">
        <v>0</v>
      </c>
      <c r="J60" t="s">
        <v>669</v>
      </c>
      <c r="K60">
        <v>16.100000000000001</v>
      </c>
      <c r="M60" t="s">
        <v>15</v>
      </c>
      <c r="N60" t="s">
        <v>960</v>
      </c>
      <c r="O60" t="s">
        <v>952</v>
      </c>
      <c r="P60" t="s">
        <v>960</v>
      </c>
    </row>
    <row r="61" spans="1:16" x14ac:dyDescent="0.35">
      <c r="A61">
        <v>1271</v>
      </c>
      <c r="B61">
        <v>0</v>
      </c>
      <c r="C61">
        <v>3</v>
      </c>
      <c r="D61" t="s">
        <v>553</v>
      </c>
      <c r="E61" t="s">
        <v>11</v>
      </c>
      <c r="F61" t="s">
        <v>950</v>
      </c>
      <c r="G61">
        <v>5</v>
      </c>
      <c r="H61">
        <v>4</v>
      </c>
      <c r="I61">
        <v>2</v>
      </c>
      <c r="J61" t="s">
        <v>751</v>
      </c>
      <c r="K61">
        <v>31.387499999999999</v>
      </c>
      <c r="M61" t="s">
        <v>15</v>
      </c>
      <c r="N61" t="s">
        <v>952</v>
      </c>
      <c r="O61" t="s">
        <v>952</v>
      </c>
      <c r="P61" t="s">
        <v>952</v>
      </c>
    </row>
    <row r="62" spans="1:16" x14ac:dyDescent="0.35">
      <c r="A62">
        <v>952</v>
      </c>
      <c r="B62">
        <v>0</v>
      </c>
      <c r="C62">
        <v>3</v>
      </c>
      <c r="D62" t="s">
        <v>109</v>
      </c>
      <c r="E62" t="s">
        <v>11</v>
      </c>
      <c r="F62" t="s">
        <v>950</v>
      </c>
      <c r="G62">
        <v>17</v>
      </c>
      <c r="H62">
        <v>0</v>
      </c>
      <c r="I62">
        <v>0</v>
      </c>
      <c r="J62" t="s">
        <v>670</v>
      </c>
      <c r="K62">
        <v>7.8958000000000004</v>
      </c>
      <c r="M62" t="s">
        <v>15</v>
      </c>
      <c r="N62" t="s">
        <v>952</v>
      </c>
      <c r="O62" t="s">
        <v>960</v>
      </c>
      <c r="P62" t="s">
        <v>960</v>
      </c>
    </row>
    <row r="63" spans="1:16" x14ac:dyDescent="0.35">
      <c r="A63">
        <v>953</v>
      </c>
      <c r="B63">
        <v>0</v>
      </c>
      <c r="C63">
        <v>2</v>
      </c>
      <c r="D63" t="s">
        <v>110</v>
      </c>
      <c r="E63" t="s">
        <v>11</v>
      </c>
      <c r="F63" t="s">
        <v>948</v>
      </c>
      <c r="G63">
        <v>32</v>
      </c>
      <c r="H63">
        <v>0</v>
      </c>
      <c r="I63">
        <v>0</v>
      </c>
      <c r="J63" t="s">
        <v>671</v>
      </c>
      <c r="K63">
        <v>13.5</v>
      </c>
      <c r="M63" t="s">
        <v>15</v>
      </c>
      <c r="N63" t="s">
        <v>960</v>
      </c>
      <c r="O63" t="s">
        <v>960</v>
      </c>
      <c r="P63" t="s">
        <v>960</v>
      </c>
    </row>
    <row r="64" spans="1:16" x14ac:dyDescent="0.35">
      <c r="A64">
        <v>954</v>
      </c>
      <c r="B64">
        <v>0</v>
      </c>
      <c r="C64">
        <v>3</v>
      </c>
      <c r="D64" t="s">
        <v>111</v>
      </c>
      <c r="E64" t="s">
        <v>11</v>
      </c>
      <c r="F64" t="s">
        <v>951</v>
      </c>
      <c r="G64">
        <v>18</v>
      </c>
      <c r="H64">
        <v>0</v>
      </c>
      <c r="I64">
        <v>0</v>
      </c>
      <c r="J64" t="s">
        <v>672</v>
      </c>
      <c r="K64">
        <v>7.75</v>
      </c>
      <c r="M64" t="s">
        <v>15</v>
      </c>
      <c r="N64" t="s">
        <v>960</v>
      </c>
      <c r="O64" t="s">
        <v>960</v>
      </c>
      <c r="P64" t="s">
        <v>960</v>
      </c>
    </row>
    <row r="65" spans="1:16" x14ac:dyDescent="0.35">
      <c r="A65">
        <v>1270</v>
      </c>
      <c r="B65">
        <v>0</v>
      </c>
      <c r="C65">
        <v>1</v>
      </c>
      <c r="D65" t="s">
        <v>551</v>
      </c>
      <c r="E65" t="s">
        <v>11</v>
      </c>
      <c r="F65" t="s">
        <v>948</v>
      </c>
      <c r="G65">
        <v>55</v>
      </c>
      <c r="H65">
        <v>0</v>
      </c>
      <c r="I65">
        <v>0</v>
      </c>
      <c r="J65" t="s">
        <v>913</v>
      </c>
      <c r="K65">
        <v>50</v>
      </c>
      <c r="L65" t="s">
        <v>552</v>
      </c>
      <c r="M65" t="s">
        <v>15</v>
      </c>
      <c r="N65" t="s">
        <v>960</v>
      </c>
      <c r="O65" t="s">
        <v>960</v>
      </c>
      <c r="P65" t="s">
        <v>960</v>
      </c>
    </row>
    <row r="66" spans="1:16" x14ac:dyDescent="0.35">
      <c r="A66">
        <v>1269</v>
      </c>
      <c r="B66">
        <v>0</v>
      </c>
      <c r="C66">
        <v>2</v>
      </c>
      <c r="D66" t="s">
        <v>550</v>
      </c>
      <c r="E66" t="s">
        <v>11</v>
      </c>
      <c r="F66" t="s">
        <v>951</v>
      </c>
      <c r="G66">
        <v>21</v>
      </c>
      <c r="H66">
        <v>0</v>
      </c>
      <c r="I66">
        <v>0</v>
      </c>
      <c r="J66" t="s">
        <v>912</v>
      </c>
      <c r="K66">
        <v>11.5</v>
      </c>
      <c r="M66" t="s">
        <v>15</v>
      </c>
      <c r="N66" t="s">
        <v>960</v>
      </c>
      <c r="O66" t="s">
        <v>960</v>
      </c>
      <c r="P66" t="s">
        <v>960</v>
      </c>
    </row>
    <row r="67" spans="1:16" x14ac:dyDescent="0.35">
      <c r="A67">
        <v>957</v>
      </c>
      <c r="B67">
        <v>1</v>
      </c>
      <c r="C67">
        <v>2</v>
      </c>
      <c r="D67" t="s">
        <v>114</v>
      </c>
      <c r="E67" t="s">
        <v>14</v>
      </c>
      <c r="F67" t="s">
        <v>948</v>
      </c>
      <c r="G67">
        <v>30.2</v>
      </c>
      <c r="H67">
        <v>0</v>
      </c>
      <c r="I67">
        <v>0</v>
      </c>
      <c r="J67" t="s">
        <v>115</v>
      </c>
      <c r="K67">
        <v>21</v>
      </c>
      <c r="M67" t="s">
        <v>15</v>
      </c>
      <c r="N67" t="s">
        <v>960</v>
      </c>
      <c r="O67" t="s">
        <v>960</v>
      </c>
      <c r="P67" t="s">
        <v>960</v>
      </c>
    </row>
    <row r="68" spans="1:16" x14ac:dyDescent="0.35">
      <c r="A68">
        <v>1268</v>
      </c>
      <c r="B68">
        <v>1</v>
      </c>
      <c r="C68">
        <v>3</v>
      </c>
      <c r="D68" t="s">
        <v>549</v>
      </c>
      <c r="E68" t="s">
        <v>14</v>
      </c>
      <c r="F68" t="s">
        <v>951</v>
      </c>
      <c r="G68">
        <v>22</v>
      </c>
      <c r="H68">
        <v>2</v>
      </c>
      <c r="I68">
        <v>0</v>
      </c>
      <c r="J68" t="s">
        <v>911</v>
      </c>
      <c r="K68">
        <v>8.6624999999999996</v>
      </c>
      <c r="M68" t="s">
        <v>15</v>
      </c>
      <c r="N68" t="s">
        <v>960</v>
      </c>
      <c r="O68" t="s">
        <v>952</v>
      </c>
      <c r="P68" t="s">
        <v>960</v>
      </c>
    </row>
    <row r="69" spans="1:16" x14ac:dyDescent="0.35">
      <c r="A69">
        <v>959</v>
      </c>
      <c r="B69">
        <v>0</v>
      </c>
      <c r="C69">
        <v>1</v>
      </c>
      <c r="D69" t="s">
        <v>117</v>
      </c>
      <c r="E69" t="s">
        <v>11</v>
      </c>
      <c r="F69" t="s">
        <v>948</v>
      </c>
      <c r="G69">
        <v>47</v>
      </c>
      <c r="H69">
        <v>0</v>
      </c>
      <c r="I69">
        <v>0</v>
      </c>
      <c r="J69" t="s">
        <v>675</v>
      </c>
      <c r="K69">
        <v>42.4</v>
      </c>
      <c r="M69" t="s">
        <v>15</v>
      </c>
      <c r="N69" t="s">
        <v>960</v>
      </c>
      <c r="O69" t="s">
        <v>960</v>
      </c>
      <c r="P69" t="s">
        <v>960</v>
      </c>
    </row>
    <row r="70" spans="1:16" x14ac:dyDescent="0.35">
      <c r="A70">
        <v>1266</v>
      </c>
      <c r="B70">
        <v>1</v>
      </c>
      <c r="C70">
        <v>1</v>
      </c>
      <c r="D70" t="s">
        <v>547</v>
      </c>
      <c r="E70" t="s">
        <v>14</v>
      </c>
      <c r="F70" t="s">
        <v>948</v>
      </c>
      <c r="G70">
        <v>54</v>
      </c>
      <c r="H70">
        <v>1</v>
      </c>
      <c r="I70">
        <v>1</v>
      </c>
      <c r="J70" t="s">
        <v>849</v>
      </c>
      <c r="K70">
        <v>81.8583</v>
      </c>
      <c r="L70" t="s">
        <v>435</v>
      </c>
      <c r="M70" t="s">
        <v>15</v>
      </c>
      <c r="N70" t="s">
        <v>960</v>
      </c>
      <c r="O70" t="s">
        <v>952</v>
      </c>
      <c r="P70" t="s">
        <v>952</v>
      </c>
    </row>
    <row r="71" spans="1:16" x14ac:dyDescent="0.35">
      <c r="A71">
        <v>961</v>
      </c>
      <c r="B71">
        <v>1</v>
      </c>
      <c r="C71">
        <v>1</v>
      </c>
      <c r="D71" t="s">
        <v>120</v>
      </c>
      <c r="E71" t="s">
        <v>14</v>
      </c>
      <c r="F71" t="s">
        <v>949</v>
      </c>
      <c r="G71">
        <v>60</v>
      </c>
      <c r="H71">
        <v>1</v>
      </c>
      <c r="I71">
        <v>4</v>
      </c>
      <c r="J71" t="s">
        <v>664</v>
      </c>
      <c r="K71">
        <v>263</v>
      </c>
      <c r="L71" t="s">
        <v>99</v>
      </c>
      <c r="M71" t="s">
        <v>15</v>
      </c>
      <c r="N71" t="s">
        <v>960</v>
      </c>
      <c r="O71" t="s">
        <v>952</v>
      </c>
      <c r="P71" t="s">
        <v>952</v>
      </c>
    </row>
    <row r="72" spans="1:16" x14ac:dyDescent="0.35">
      <c r="A72">
        <v>1265</v>
      </c>
      <c r="B72">
        <v>0</v>
      </c>
      <c r="C72">
        <v>2</v>
      </c>
      <c r="D72" t="s">
        <v>546</v>
      </c>
      <c r="E72" t="s">
        <v>11</v>
      </c>
      <c r="F72" t="s">
        <v>948</v>
      </c>
      <c r="G72">
        <v>44</v>
      </c>
      <c r="H72">
        <v>0</v>
      </c>
      <c r="I72">
        <v>0</v>
      </c>
      <c r="J72" t="s">
        <v>910</v>
      </c>
      <c r="K72">
        <v>13</v>
      </c>
      <c r="M72" t="s">
        <v>15</v>
      </c>
      <c r="N72" t="s">
        <v>960</v>
      </c>
      <c r="O72" t="s">
        <v>960</v>
      </c>
      <c r="P72" t="s">
        <v>960</v>
      </c>
    </row>
    <row r="73" spans="1:16" x14ac:dyDescent="0.35">
      <c r="A73">
        <v>963</v>
      </c>
      <c r="B73">
        <v>0</v>
      </c>
      <c r="C73">
        <v>3</v>
      </c>
      <c r="D73" t="s">
        <v>122</v>
      </c>
      <c r="E73" t="s">
        <v>11</v>
      </c>
      <c r="F73" t="s">
        <v>951</v>
      </c>
      <c r="G73">
        <v>21</v>
      </c>
      <c r="H73">
        <v>0</v>
      </c>
      <c r="I73">
        <v>0</v>
      </c>
      <c r="J73" t="s">
        <v>678</v>
      </c>
      <c r="K73">
        <v>7.8958000000000004</v>
      </c>
      <c r="M73" t="s">
        <v>15</v>
      </c>
      <c r="N73" t="s">
        <v>960</v>
      </c>
      <c r="O73" t="s">
        <v>960</v>
      </c>
      <c r="P73" t="s">
        <v>960</v>
      </c>
    </row>
    <row r="74" spans="1:16" x14ac:dyDescent="0.35">
      <c r="A74">
        <v>964</v>
      </c>
      <c r="B74">
        <v>1</v>
      </c>
      <c r="C74">
        <v>3</v>
      </c>
      <c r="D74" t="s">
        <v>123</v>
      </c>
      <c r="E74" t="s">
        <v>14</v>
      </c>
      <c r="F74" t="s">
        <v>951</v>
      </c>
      <c r="G74">
        <v>29</v>
      </c>
      <c r="H74">
        <v>0</v>
      </c>
      <c r="I74">
        <v>0</v>
      </c>
      <c r="J74" t="s">
        <v>679</v>
      </c>
      <c r="K74">
        <v>7.9249999999999998</v>
      </c>
      <c r="M74" t="s">
        <v>15</v>
      </c>
      <c r="N74" t="s">
        <v>960</v>
      </c>
      <c r="O74" t="s">
        <v>960</v>
      </c>
      <c r="P74" t="s">
        <v>960</v>
      </c>
    </row>
    <row r="75" spans="1:16" x14ac:dyDescent="0.35">
      <c r="A75">
        <v>1264</v>
      </c>
      <c r="B75">
        <v>0</v>
      </c>
      <c r="C75">
        <v>1</v>
      </c>
      <c r="D75" t="s">
        <v>544</v>
      </c>
      <c r="E75" t="s">
        <v>11</v>
      </c>
      <c r="F75" t="s">
        <v>948</v>
      </c>
      <c r="G75">
        <v>49</v>
      </c>
      <c r="H75">
        <v>0</v>
      </c>
      <c r="I75">
        <v>0</v>
      </c>
      <c r="J75" t="s">
        <v>909</v>
      </c>
      <c r="K75">
        <v>0</v>
      </c>
      <c r="L75" t="s">
        <v>545</v>
      </c>
      <c r="M75" t="s">
        <v>15</v>
      </c>
      <c r="N75" t="s">
        <v>960</v>
      </c>
      <c r="O75" t="s">
        <v>960</v>
      </c>
      <c r="P75" t="s">
        <v>960</v>
      </c>
    </row>
    <row r="76" spans="1:16" x14ac:dyDescent="0.35">
      <c r="A76">
        <v>1262</v>
      </c>
      <c r="B76">
        <v>0</v>
      </c>
      <c r="C76">
        <v>2</v>
      </c>
      <c r="D76" t="s">
        <v>541</v>
      </c>
      <c r="E76" t="s">
        <v>11</v>
      </c>
      <c r="F76" t="s">
        <v>951</v>
      </c>
      <c r="G76">
        <v>21</v>
      </c>
      <c r="H76">
        <v>1</v>
      </c>
      <c r="I76">
        <v>0</v>
      </c>
      <c r="J76" t="s">
        <v>908</v>
      </c>
      <c r="K76">
        <v>11.5</v>
      </c>
      <c r="M76" t="s">
        <v>15</v>
      </c>
      <c r="N76" t="s">
        <v>960</v>
      </c>
      <c r="O76" t="s">
        <v>952</v>
      </c>
      <c r="P76" t="s">
        <v>960</v>
      </c>
    </row>
    <row r="77" spans="1:16" x14ac:dyDescent="0.35">
      <c r="A77">
        <v>1259</v>
      </c>
      <c r="B77">
        <v>1</v>
      </c>
      <c r="C77">
        <v>3</v>
      </c>
      <c r="D77" t="s">
        <v>537</v>
      </c>
      <c r="E77" t="s">
        <v>14</v>
      </c>
      <c r="F77" t="s">
        <v>951</v>
      </c>
      <c r="G77">
        <v>22</v>
      </c>
      <c r="H77">
        <v>0</v>
      </c>
      <c r="I77">
        <v>0</v>
      </c>
      <c r="J77" t="s">
        <v>905</v>
      </c>
      <c r="K77">
        <v>39.6875</v>
      </c>
      <c r="M77" t="s">
        <v>15</v>
      </c>
      <c r="N77" t="s">
        <v>960</v>
      </c>
      <c r="O77" t="s">
        <v>960</v>
      </c>
      <c r="P77" t="s">
        <v>960</v>
      </c>
    </row>
    <row r="78" spans="1:16" x14ac:dyDescent="0.35">
      <c r="A78">
        <v>968</v>
      </c>
      <c r="B78">
        <v>0</v>
      </c>
      <c r="C78">
        <v>3</v>
      </c>
      <c r="D78" t="s">
        <v>131</v>
      </c>
      <c r="E78" t="s">
        <v>11</v>
      </c>
      <c r="F78" t="s">
        <v>948</v>
      </c>
      <c r="G78">
        <v>30.2</v>
      </c>
      <c r="H78">
        <v>0</v>
      </c>
      <c r="I78">
        <v>0</v>
      </c>
      <c r="J78" t="s">
        <v>682</v>
      </c>
      <c r="K78">
        <v>8.0500000000000007</v>
      </c>
      <c r="M78" t="s">
        <v>15</v>
      </c>
      <c r="N78" t="s">
        <v>960</v>
      </c>
      <c r="O78" t="s">
        <v>960</v>
      </c>
      <c r="P78" t="s">
        <v>960</v>
      </c>
    </row>
    <row r="79" spans="1:16" x14ac:dyDescent="0.35">
      <c r="A79">
        <v>969</v>
      </c>
      <c r="B79">
        <v>1</v>
      </c>
      <c r="C79">
        <v>1</v>
      </c>
      <c r="D79" t="s">
        <v>132</v>
      </c>
      <c r="E79" t="s">
        <v>14</v>
      </c>
      <c r="F79" t="s">
        <v>948</v>
      </c>
      <c r="G79">
        <v>55</v>
      </c>
      <c r="H79">
        <v>2</v>
      </c>
      <c r="I79">
        <v>0</v>
      </c>
      <c r="J79" t="s">
        <v>683</v>
      </c>
      <c r="K79">
        <v>25.7</v>
      </c>
      <c r="L79" t="s">
        <v>133</v>
      </c>
      <c r="M79" t="s">
        <v>15</v>
      </c>
      <c r="N79" t="s">
        <v>960</v>
      </c>
      <c r="O79" t="s">
        <v>952</v>
      </c>
      <c r="P79" t="s">
        <v>960</v>
      </c>
    </row>
    <row r="80" spans="1:16" x14ac:dyDescent="0.35">
      <c r="A80">
        <v>970</v>
      </c>
      <c r="B80">
        <v>0</v>
      </c>
      <c r="C80">
        <v>2</v>
      </c>
      <c r="D80" t="s">
        <v>134</v>
      </c>
      <c r="E80" t="s">
        <v>11</v>
      </c>
      <c r="F80" t="s">
        <v>948</v>
      </c>
      <c r="G80">
        <v>30</v>
      </c>
      <c r="H80">
        <v>0</v>
      </c>
      <c r="I80">
        <v>0</v>
      </c>
      <c r="J80" t="s">
        <v>684</v>
      </c>
      <c r="K80">
        <v>13</v>
      </c>
      <c r="M80" t="s">
        <v>15</v>
      </c>
      <c r="N80" t="s">
        <v>960</v>
      </c>
      <c r="O80" t="s">
        <v>960</v>
      </c>
      <c r="P80" t="s">
        <v>960</v>
      </c>
    </row>
    <row r="81" spans="1:16" x14ac:dyDescent="0.35">
      <c r="A81">
        <v>1257</v>
      </c>
      <c r="B81">
        <v>1</v>
      </c>
      <c r="C81">
        <v>3</v>
      </c>
      <c r="D81" t="s">
        <v>535</v>
      </c>
      <c r="E81" t="s">
        <v>14</v>
      </c>
      <c r="F81" t="s">
        <v>948</v>
      </c>
      <c r="G81">
        <v>30.2</v>
      </c>
      <c r="H81">
        <v>1</v>
      </c>
      <c r="I81">
        <v>9</v>
      </c>
      <c r="J81" t="s">
        <v>774</v>
      </c>
      <c r="K81">
        <v>69.55</v>
      </c>
      <c r="M81" t="s">
        <v>15</v>
      </c>
      <c r="N81" t="s">
        <v>960</v>
      </c>
      <c r="O81" t="s">
        <v>952</v>
      </c>
      <c r="P81" t="s">
        <v>952</v>
      </c>
    </row>
    <row r="82" spans="1:16" x14ac:dyDescent="0.35">
      <c r="A82">
        <v>1255</v>
      </c>
      <c r="B82">
        <v>0</v>
      </c>
      <c r="C82">
        <v>3</v>
      </c>
      <c r="D82" t="s">
        <v>532</v>
      </c>
      <c r="E82" t="s">
        <v>11</v>
      </c>
      <c r="F82" t="s">
        <v>951</v>
      </c>
      <c r="G82">
        <v>27</v>
      </c>
      <c r="H82">
        <v>0</v>
      </c>
      <c r="I82">
        <v>0</v>
      </c>
      <c r="J82" t="s">
        <v>902</v>
      </c>
      <c r="K82">
        <v>8.6624999999999996</v>
      </c>
      <c r="M82" t="s">
        <v>15</v>
      </c>
      <c r="N82" t="s">
        <v>960</v>
      </c>
      <c r="O82" t="s">
        <v>960</v>
      </c>
      <c r="P82" t="s">
        <v>960</v>
      </c>
    </row>
    <row r="83" spans="1:16" x14ac:dyDescent="0.35">
      <c r="A83">
        <v>973</v>
      </c>
      <c r="B83">
        <v>0</v>
      </c>
      <c r="C83">
        <v>1</v>
      </c>
      <c r="D83" t="s">
        <v>137</v>
      </c>
      <c r="E83" t="s">
        <v>11</v>
      </c>
      <c r="F83" t="s">
        <v>949</v>
      </c>
      <c r="G83">
        <v>67</v>
      </c>
      <c r="H83">
        <v>1</v>
      </c>
      <c r="I83">
        <v>0</v>
      </c>
      <c r="J83" t="s">
        <v>687</v>
      </c>
      <c r="K83">
        <v>221.7792</v>
      </c>
      <c r="L83" t="s">
        <v>139</v>
      </c>
      <c r="M83" t="s">
        <v>15</v>
      </c>
      <c r="N83" t="s">
        <v>960</v>
      </c>
      <c r="O83" t="s">
        <v>952</v>
      </c>
      <c r="P83" t="s">
        <v>960</v>
      </c>
    </row>
    <row r="84" spans="1:16" x14ac:dyDescent="0.35">
      <c r="A84">
        <v>974</v>
      </c>
      <c r="B84">
        <v>0</v>
      </c>
      <c r="C84">
        <v>1</v>
      </c>
      <c r="D84" t="s">
        <v>140</v>
      </c>
      <c r="E84" t="s">
        <v>11</v>
      </c>
      <c r="F84" t="s">
        <v>948</v>
      </c>
      <c r="G84">
        <v>49</v>
      </c>
      <c r="H84">
        <v>0</v>
      </c>
      <c r="I84">
        <v>0</v>
      </c>
      <c r="J84" t="s">
        <v>688</v>
      </c>
      <c r="K84">
        <v>26</v>
      </c>
      <c r="M84" t="s">
        <v>15</v>
      </c>
      <c r="N84" t="s">
        <v>960</v>
      </c>
      <c r="O84" t="s">
        <v>960</v>
      </c>
      <c r="P84" t="s">
        <v>960</v>
      </c>
    </row>
    <row r="85" spans="1:16" x14ac:dyDescent="0.35">
      <c r="A85">
        <v>975</v>
      </c>
      <c r="B85">
        <v>0</v>
      </c>
      <c r="C85">
        <v>3</v>
      </c>
      <c r="D85" t="s">
        <v>141</v>
      </c>
      <c r="E85" t="s">
        <v>11</v>
      </c>
      <c r="F85" t="s">
        <v>948</v>
      </c>
      <c r="G85">
        <v>30.2</v>
      </c>
      <c r="H85">
        <v>0</v>
      </c>
      <c r="I85">
        <v>0</v>
      </c>
      <c r="J85" t="s">
        <v>689</v>
      </c>
      <c r="K85">
        <v>7.8958000000000004</v>
      </c>
      <c r="M85" t="s">
        <v>15</v>
      </c>
      <c r="N85" t="s">
        <v>960</v>
      </c>
      <c r="O85" t="s">
        <v>960</v>
      </c>
      <c r="P85" t="s">
        <v>960</v>
      </c>
    </row>
    <row r="86" spans="1:16" x14ac:dyDescent="0.35">
      <c r="A86">
        <v>1254</v>
      </c>
      <c r="B86">
        <v>1</v>
      </c>
      <c r="C86">
        <v>2</v>
      </c>
      <c r="D86" t="s">
        <v>531</v>
      </c>
      <c r="E86" t="s">
        <v>14</v>
      </c>
      <c r="F86" t="s">
        <v>948</v>
      </c>
      <c r="G86">
        <v>31</v>
      </c>
      <c r="H86">
        <v>0</v>
      </c>
      <c r="I86">
        <v>0</v>
      </c>
      <c r="J86" t="s">
        <v>840</v>
      </c>
      <c r="K86">
        <v>21</v>
      </c>
      <c r="M86" t="s">
        <v>15</v>
      </c>
      <c r="N86" t="s">
        <v>960</v>
      </c>
      <c r="O86" t="s">
        <v>960</v>
      </c>
      <c r="P86" t="s">
        <v>960</v>
      </c>
    </row>
    <row r="87" spans="1:16" x14ac:dyDescent="0.35">
      <c r="A87">
        <v>1252</v>
      </c>
      <c r="B87">
        <v>0</v>
      </c>
      <c r="C87">
        <v>3</v>
      </c>
      <c r="D87" t="s">
        <v>528</v>
      </c>
      <c r="E87" t="s">
        <v>11</v>
      </c>
      <c r="F87" t="s">
        <v>950</v>
      </c>
      <c r="G87">
        <v>14.5</v>
      </c>
      <c r="H87">
        <v>8</v>
      </c>
      <c r="I87">
        <v>2</v>
      </c>
      <c r="J87" t="s">
        <v>774</v>
      </c>
      <c r="K87">
        <v>69.55</v>
      </c>
      <c r="M87" t="s">
        <v>15</v>
      </c>
      <c r="N87" t="s">
        <v>952</v>
      </c>
      <c r="O87" t="s">
        <v>952</v>
      </c>
      <c r="P87" t="s">
        <v>952</v>
      </c>
    </row>
    <row r="88" spans="1:16" x14ac:dyDescent="0.35">
      <c r="A88">
        <v>1251</v>
      </c>
      <c r="B88">
        <v>1</v>
      </c>
      <c r="C88">
        <v>3</v>
      </c>
      <c r="D88" t="s">
        <v>527</v>
      </c>
      <c r="E88" t="s">
        <v>14</v>
      </c>
      <c r="F88" t="s">
        <v>948</v>
      </c>
      <c r="G88">
        <v>30</v>
      </c>
      <c r="H88">
        <v>1</v>
      </c>
      <c r="I88">
        <v>0</v>
      </c>
      <c r="J88" t="s">
        <v>900</v>
      </c>
      <c r="K88">
        <v>15.55</v>
      </c>
      <c r="M88" t="s">
        <v>15</v>
      </c>
      <c r="N88" t="s">
        <v>960</v>
      </c>
      <c r="O88" t="s">
        <v>952</v>
      </c>
      <c r="P88" t="s">
        <v>960</v>
      </c>
    </row>
    <row r="89" spans="1:16" x14ac:dyDescent="0.35">
      <c r="A89">
        <v>979</v>
      </c>
      <c r="B89">
        <v>1</v>
      </c>
      <c r="C89">
        <v>3</v>
      </c>
      <c r="D89" t="s">
        <v>145</v>
      </c>
      <c r="E89" t="s">
        <v>14</v>
      </c>
      <c r="F89" t="s">
        <v>951</v>
      </c>
      <c r="G89">
        <v>18</v>
      </c>
      <c r="H89">
        <v>0</v>
      </c>
      <c r="I89">
        <v>0</v>
      </c>
      <c r="J89" t="s">
        <v>146</v>
      </c>
      <c r="K89">
        <v>8.0500000000000007</v>
      </c>
      <c r="M89" t="s">
        <v>15</v>
      </c>
      <c r="N89" t="s">
        <v>960</v>
      </c>
      <c r="O89" t="s">
        <v>960</v>
      </c>
      <c r="P89" t="s">
        <v>960</v>
      </c>
    </row>
    <row r="90" spans="1:16" x14ac:dyDescent="0.35">
      <c r="A90">
        <v>1249</v>
      </c>
      <c r="B90">
        <v>0</v>
      </c>
      <c r="C90">
        <v>3</v>
      </c>
      <c r="D90" t="s">
        <v>525</v>
      </c>
      <c r="E90" t="s">
        <v>11</v>
      </c>
      <c r="F90" t="s">
        <v>948</v>
      </c>
      <c r="G90">
        <v>30.2</v>
      </c>
      <c r="H90">
        <v>0</v>
      </c>
      <c r="I90">
        <v>0</v>
      </c>
      <c r="J90" t="s">
        <v>898</v>
      </c>
      <c r="K90">
        <v>7.8792</v>
      </c>
      <c r="M90" t="s">
        <v>15</v>
      </c>
      <c r="N90" t="s">
        <v>960</v>
      </c>
      <c r="O90" t="s">
        <v>960</v>
      </c>
      <c r="P90" t="s">
        <v>960</v>
      </c>
    </row>
    <row r="91" spans="1:16" x14ac:dyDescent="0.35">
      <c r="A91">
        <v>981</v>
      </c>
      <c r="B91">
        <v>0</v>
      </c>
      <c r="C91">
        <v>2</v>
      </c>
      <c r="D91" t="s">
        <v>148</v>
      </c>
      <c r="E91" t="s">
        <v>11</v>
      </c>
      <c r="F91" t="s">
        <v>950</v>
      </c>
      <c r="G91">
        <v>2</v>
      </c>
      <c r="H91">
        <v>1</v>
      </c>
      <c r="I91">
        <v>1</v>
      </c>
      <c r="J91" t="s">
        <v>694</v>
      </c>
      <c r="K91">
        <v>23</v>
      </c>
      <c r="M91" t="s">
        <v>15</v>
      </c>
      <c r="N91" t="s">
        <v>952</v>
      </c>
      <c r="O91" t="s">
        <v>952</v>
      </c>
      <c r="P91" t="s">
        <v>952</v>
      </c>
    </row>
    <row r="92" spans="1:16" x14ac:dyDescent="0.35">
      <c r="A92">
        <v>982</v>
      </c>
      <c r="B92">
        <v>1</v>
      </c>
      <c r="C92">
        <v>3</v>
      </c>
      <c r="D92" t="s">
        <v>149</v>
      </c>
      <c r="E92" t="s">
        <v>14</v>
      </c>
      <c r="F92" t="s">
        <v>951</v>
      </c>
      <c r="G92">
        <v>22</v>
      </c>
      <c r="H92">
        <v>1</v>
      </c>
      <c r="I92">
        <v>0</v>
      </c>
      <c r="J92" t="s">
        <v>695</v>
      </c>
      <c r="K92">
        <v>13.9</v>
      </c>
      <c r="M92" t="s">
        <v>15</v>
      </c>
      <c r="N92" t="s">
        <v>960</v>
      </c>
      <c r="O92" t="s">
        <v>952</v>
      </c>
      <c r="P92" t="s">
        <v>960</v>
      </c>
    </row>
    <row r="93" spans="1:16" x14ac:dyDescent="0.35">
      <c r="A93">
        <v>983</v>
      </c>
      <c r="B93">
        <v>0</v>
      </c>
      <c r="C93">
        <v>3</v>
      </c>
      <c r="D93" t="s">
        <v>150</v>
      </c>
      <c r="E93" t="s">
        <v>11</v>
      </c>
      <c r="F93" t="s">
        <v>948</v>
      </c>
      <c r="G93">
        <v>30.2</v>
      </c>
      <c r="H93">
        <v>0</v>
      </c>
      <c r="I93">
        <v>0</v>
      </c>
      <c r="J93" t="s">
        <v>696</v>
      </c>
      <c r="K93">
        <v>7.7750000000000004</v>
      </c>
      <c r="M93" t="s">
        <v>15</v>
      </c>
      <c r="N93" t="s">
        <v>960</v>
      </c>
      <c r="O93" t="s">
        <v>960</v>
      </c>
      <c r="P93" t="s">
        <v>960</v>
      </c>
    </row>
    <row r="94" spans="1:16" x14ac:dyDescent="0.35">
      <c r="A94">
        <v>984</v>
      </c>
      <c r="B94">
        <v>1</v>
      </c>
      <c r="C94">
        <v>1</v>
      </c>
      <c r="D94" t="s">
        <v>151</v>
      </c>
      <c r="E94" t="s">
        <v>14</v>
      </c>
      <c r="F94" t="s">
        <v>951</v>
      </c>
      <c r="G94">
        <v>27</v>
      </c>
      <c r="H94">
        <v>1</v>
      </c>
      <c r="I94">
        <v>2</v>
      </c>
      <c r="J94" t="s">
        <v>152</v>
      </c>
      <c r="K94">
        <v>52</v>
      </c>
      <c r="L94" t="s">
        <v>153</v>
      </c>
      <c r="M94" t="s">
        <v>15</v>
      </c>
      <c r="N94" t="s">
        <v>960</v>
      </c>
      <c r="O94" t="s">
        <v>952</v>
      </c>
      <c r="P94" t="s">
        <v>952</v>
      </c>
    </row>
    <row r="95" spans="1:16" x14ac:dyDescent="0.35">
      <c r="A95">
        <v>985</v>
      </c>
      <c r="B95">
        <v>0</v>
      </c>
      <c r="C95">
        <v>3</v>
      </c>
      <c r="D95" t="s">
        <v>154</v>
      </c>
      <c r="E95" t="s">
        <v>11</v>
      </c>
      <c r="F95" t="s">
        <v>948</v>
      </c>
      <c r="G95">
        <v>30.2</v>
      </c>
      <c r="H95">
        <v>0</v>
      </c>
      <c r="I95">
        <v>0</v>
      </c>
      <c r="J95" t="s">
        <v>697</v>
      </c>
      <c r="K95">
        <v>8.0500000000000007</v>
      </c>
      <c r="M95" t="s">
        <v>15</v>
      </c>
      <c r="N95" t="s">
        <v>960</v>
      </c>
      <c r="O95" t="s">
        <v>960</v>
      </c>
      <c r="P95" t="s">
        <v>960</v>
      </c>
    </row>
    <row r="96" spans="1:16" x14ac:dyDescent="0.35">
      <c r="A96">
        <v>1248</v>
      </c>
      <c r="B96">
        <v>1</v>
      </c>
      <c r="C96">
        <v>1</v>
      </c>
      <c r="D96" t="s">
        <v>524</v>
      </c>
      <c r="E96" t="s">
        <v>14</v>
      </c>
      <c r="F96" t="s">
        <v>948</v>
      </c>
      <c r="G96">
        <v>59</v>
      </c>
      <c r="H96">
        <v>2</v>
      </c>
      <c r="I96">
        <v>0</v>
      </c>
      <c r="J96" t="s">
        <v>897</v>
      </c>
      <c r="K96">
        <v>51.479199999999999</v>
      </c>
      <c r="L96" t="s">
        <v>133</v>
      </c>
      <c r="M96" t="s">
        <v>15</v>
      </c>
      <c r="N96" t="s">
        <v>960</v>
      </c>
      <c r="O96" t="s">
        <v>952</v>
      </c>
      <c r="P96" t="s">
        <v>960</v>
      </c>
    </row>
    <row r="97" spans="1:16" x14ac:dyDescent="0.35">
      <c r="A97">
        <v>987</v>
      </c>
      <c r="B97">
        <v>0</v>
      </c>
      <c r="C97">
        <v>3</v>
      </c>
      <c r="D97" t="s">
        <v>156</v>
      </c>
      <c r="E97" t="s">
        <v>11</v>
      </c>
      <c r="F97" t="s">
        <v>951</v>
      </c>
      <c r="G97">
        <v>25</v>
      </c>
      <c r="H97">
        <v>0</v>
      </c>
      <c r="I97">
        <v>0</v>
      </c>
      <c r="J97" t="s">
        <v>699</v>
      </c>
      <c r="K97">
        <v>7.7957999999999998</v>
      </c>
      <c r="M97" t="s">
        <v>15</v>
      </c>
      <c r="N97" t="s">
        <v>960</v>
      </c>
      <c r="O97" t="s">
        <v>960</v>
      </c>
      <c r="P97" t="s">
        <v>960</v>
      </c>
    </row>
    <row r="98" spans="1:16" x14ac:dyDescent="0.35">
      <c r="A98">
        <v>988</v>
      </c>
      <c r="B98">
        <v>1</v>
      </c>
      <c r="C98">
        <v>1</v>
      </c>
      <c r="D98" t="s">
        <v>157</v>
      </c>
      <c r="E98" t="s">
        <v>14</v>
      </c>
      <c r="F98" t="s">
        <v>949</v>
      </c>
      <c r="G98">
        <v>76</v>
      </c>
      <c r="H98">
        <v>1</v>
      </c>
      <c r="I98">
        <v>0</v>
      </c>
      <c r="J98" t="s">
        <v>700</v>
      </c>
      <c r="K98">
        <v>78.849999999999994</v>
      </c>
      <c r="L98" t="s">
        <v>158</v>
      </c>
      <c r="M98" t="s">
        <v>15</v>
      </c>
      <c r="N98" t="s">
        <v>960</v>
      </c>
      <c r="O98" t="s">
        <v>952</v>
      </c>
      <c r="P98" t="s">
        <v>960</v>
      </c>
    </row>
    <row r="99" spans="1:16" x14ac:dyDescent="0.35">
      <c r="A99">
        <v>989</v>
      </c>
      <c r="B99">
        <v>0</v>
      </c>
      <c r="C99">
        <v>3</v>
      </c>
      <c r="D99" t="s">
        <v>159</v>
      </c>
      <c r="E99" t="s">
        <v>11</v>
      </c>
      <c r="F99" t="s">
        <v>951</v>
      </c>
      <c r="G99">
        <v>29</v>
      </c>
      <c r="H99">
        <v>0</v>
      </c>
      <c r="I99">
        <v>0</v>
      </c>
      <c r="J99" t="s">
        <v>701</v>
      </c>
      <c r="K99">
        <v>7.9249999999999998</v>
      </c>
      <c r="M99" t="s">
        <v>15</v>
      </c>
      <c r="N99" t="s">
        <v>960</v>
      </c>
      <c r="O99" t="s">
        <v>960</v>
      </c>
      <c r="P99" t="s">
        <v>960</v>
      </c>
    </row>
    <row r="100" spans="1:16" x14ac:dyDescent="0.35">
      <c r="A100">
        <v>990</v>
      </c>
      <c r="B100">
        <v>1</v>
      </c>
      <c r="C100">
        <v>3</v>
      </c>
      <c r="D100" t="s">
        <v>161</v>
      </c>
      <c r="E100" t="s">
        <v>14</v>
      </c>
      <c r="F100" t="s">
        <v>951</v>
      </c>
      <c r="G100">
        <v>20</v>
      </c>
      <c r="H100">
        <v>0</v>
      </c>
      <c r="I100">
        <v>0</v>
      </c>
      <c r="J100" t="s">
        <v>702</v>
      </c>
      <c r="K100">
        <v>7.8541999999999996</v>
      </c>
      <c r="M100" t="s">
        <v>15</v>
      </c>
      <c r="N100" t="s">
        <v>960</v>
      </c>
      <c r="O100" t="s">
        <v>960</v>
      </c>
      <c r="P100" t="s">
        <v>960</v>
      </c>
    </row>
    <row r="101" spans="1:16" x14ac:dyDescent="0.35">
      <c r="A101">
        <v>991</v>
      </c>
      <c r="B101">
        <v>0</v>
      </c>
      <c r="C101">
        <v>3</v>
      </c>
      <c r="D101" t="s">
        <v>162</v>
      </c>
      <c r="E101" t="s">
        <v>11</v>
      </c>
      <c r="F101" t="s">
        <v>948</v>
      </c>
      <c r="G101">
        <v>33</v>
      </c>
      <c r="H101">
        <v>0</v>
      </c>
      <c r="I101">
        <v>0</v>
      </c>
      <c r="J101" t="s">
        <v>163</v>
      </c>
      <c r="K101">
        <v>8.0500000000000007</v>
      </c>
      <c r="M101" t="s">
        <v>15</v>
      </c>
      <c r="N101" t="s">
        <v>960</v>
      </c>
      <c r="O101" t="s">
        <v>960</v>
      </c>
      <c r="P101" t="s">
        <v>960</v>
      </c>
    </row>
    <row r="102" spans="1:16" x14ac:dyDescent="0.35">
      <c r="A102">
        <v>1247</v>
      </c>
      <c r="B102">
        <v>0</v>
      </c>
      <c r="C102">
        <v>1</v>
      </c>
      <c r="D102" t="s">
        <v>522</v>
      </c>
      <c r="E102" t="s">
        <v>11</v>
      </c>
      <c r="F102" t="s">
        <v>948</v>
      </c>
      <c r="G102">
        <v>50</v>
      </c>
      <c r="H102">
        <v>0</v>
      </c>
      <c r="I102">
        <v>0</v>
      </c>
      <c r="J102" t="s">
        <v>896</v>
      </c>
      <c r="K102">
        <v>26</v>
      </c>
      <c r="L102" t="s">
        <v>523</v>
      </c>
      <c r="M102" t="s">
        <v>15</v>
      </c>
      <c r="N102" t="s">
        <v>960</v>
      </c>
      <c r="O102" t="s">
        <v>960</v>
      </c>
      <c r="P102" t="s">
        <v>960</v>
      </c>
    </row>
    <row r="103" spans="1:16" x14ac:dyDescent="0.35">
      <c r="A103">
        <v>993</v>
      </c>
      <c r="B103">
        <v>0</v>
      </c>
      <c r="C103">
        <v>2</v>
      </c>
      <c r="D103" t="s">
        <v>166</v>
      </c>
      <c r="E103" t="s">
        <v>11</v>
      </c>
      <c r="F103" t="s">
        <v>951</v>
      </c>
      <c r="G103">
        <v>27</v>
      </c>
      <c r="H103">
        <v>1</v>
      </c>
      <c r="I103">
        <v>0</v>
      </c>
      <c r="J103" t="s">
        <v>704</v>
      </c>
      <c r="K103">
        <v>26</v>
      </c>
      <c r="M103" t="s">
        <v>15</v>
      </c>
      <c r="N103" t="s">
        <v>960</v>
      </c>
      <c r="O103" t="s">
        <v>952</v>
      </c>
      <c r="P103" t="s">
        <v>960</v>
      </c>
    </row>
    <row r="104" spans="1:16" x14ac:dyDescent="0.35">
      <c r="A104">
        <v>1246</v>
      </c>
      <c r="B104">
        <v>1</v>
      </c>
      <c r="C104">
        <v>3</v>
      </c>
      <c r="D104" t="s">
        <v>521</v>
      </c>
      <c r="E104" t="s">
        <v>14</v>
      </c>
      <c r="F104" t="s">
        <v>950</v>
      </c>
      <c r="G104">
        <v>0.17</v>
      </c>
      <c r="H104">
        <v>1</v>
      </c>
      <c r="I104">
        <v>2</v>
      </c>
      <c r="J104" t="s">
        <v>65</v>
      </c>
      <c r="K104">
        <v>20.574999999999999</v>
      </c>
      <c r="M104" t="s">
        <v>15</v>
      </c>
      <c r="N104" t="s">
        <v>952</v>
      </c>
      <c r="O104" t="s">
        <v>952</v>
      </c>
      <c r="P104" t="s">
        <v>952</v>
      </c>
    </row>
    <row r="105" spans="1:16" x14ac:dyDescent="0.35">
      <c r="A105">
        <v>995</v>
      </c>
      <c r="B105">
        <v>0</v>
      </c>
      <c r="C105">
        <v>3</v>
      </c>
      <c r="D105" t="s">
        <v>168</v>
      </c>
      <c r="E105" t="s">
        <v>11</v>
      </c>
      <c r="F105" t="s">
        <v>951</v>
      </c>
      <c r="G105">
        <v>26</v>
      </c>
      <c r="H105">
        <v>0</v>
      </c>
      <c r="I105">
        <v>0</v>
      </c>
      <c r="J105" t="s">
        <v>706</v>
      </c>
      <c r="K105">
        <v>7.7750000000000004</v>
      </c>
      <c r="M105" t="s">
        <v>15</v>
      </c>
      <c r="N105" t="s">
        <v>960</v>
      </c>
      <c r="O105" t="s">
        <v>960</v>
      </c>
      <c r="P105" t="s">
        <v>960</v>
      </c>
    </row>
    <row r="106" spans="1:16" x14ac:dyDescent="0.35">
      <c r="A106">
        <v>1245</v>
      </c>
      <c r="B106">
        <v>0</v>
      </c>
      <c r="C106">
        <v>2</v>
      </c>
      <c r="D106" t="s">
        <v>520</v>
      </c>
      <c r="E106" t="s">
        <v>11</v>
      </c>
      <c r="F106" t="s">
        <v>948</v>
      </c>
      <c r="G106">
        <v>49</v>
      </c>
      <c r="H106">
        <v>1</v>
      </c>
      <c r="I106">
        <v>2</v>
      </c>
      <c r="J106" t="s">
        <v>806</v>
      </c>
      <c r="K106">
        <v>65</v>
      </c>
      <c r="M106" t="s">
        <v>15</v>
      </c>
      <c r="N106" t="s">
        <v>960</v>
      </c>
      <c r="O106" t="s">
        <v>952</v>
      </c>
      <c r="P106" t="s">
        <v>952</v>
      </c>
    </row>
    <row r="107" spans="1:16" x14ac:dyDescent="0.35">
      <c r="A107">
        <v>997</v>
      </c>
      <c r="B107">
        <v>0</v>
      </c>
      <c r="C107">
        <v>3</v>
      </c>
      <c r="D107" t="s">
        <v>170</v>
      </c>
      <c r="E107" t="s">
        <v>11</v>
      </c>
      <c r="F107" t="s">
        <v>951</v>
      </c>
      <c r="G107">
        <v>28</v>
      </c>
      <c r="H107">
        <v>0</v>
      </c>
      <c r="I107">
        <v>0</v>
      </c>
      <c r="J107" t="s">
        <v>171</v>
      </c>
      <c r="K107">
        <v>22.524999999999999</v>
      </c>
      <c r="M107" t="s">
        <v>15</v>
      </c>
      <c r="N107" t="s">
        <v>960</v>
      </c>
      <c r="O107" t="s">
        <v>960</v>
      </c>
      <c r="P107" t="s">
        <v>960</v>
      </c>
    </row>
    <row r="108" spans="1:16" x14ac:dyDescent="0.35">
      <c r="A108">
        <v>1244</v>
      </c>
      <c r="B108">
        <v>0</v>
      </c>
      <c r="C108">
        <v>2</v>
      </c>
      <c r="D108" t="s">
        <v>519</v>
      </c>
      <c r="E108" t="s">
        <v>11</v>
      </c>
      <c r="F108" t="s">
        <v>951</v>
      </c>
      <c r="G108">
        <v>18</v>
      </c>
      <c r="H108">
        <v>0</v>
      </c>
      <c r="I108">
        <v>0</v>
      </c>
      <c r="J108" t="s">
        <v>324</v>
      </c>
      <c r="K108">
        <v>73.5</v>
      </c>
      <c r="M108" t="s">
        <v>15</v>
      </c>
      <c r="N108" t="s">
        <v>960</v>
      </c>
      <c r="O108" t="s">
        <v>960</v>
      </c>
      <c r="P108" t="s">
        <v>960</v>
      </c>
    </row>
    <row r="109" spans="1:16" x14ac:dyDescent="0.35">
      <c r="A109">
        <v>1243</v>
      </c>
      <c r="B109">
        <v>0</v>
      </c>
      <c r="C109">
        <v>2</v>
      </c>
      <c r="D109" t="s">
        <v>517</v>
      </c>
      <c r="E109" t="s">
        <v>11</v>
      </c>
      <c r="F109" t="s">
        <v>951</v>
      </c>
      <c r="G109">
        <v>25</v>
      </c>
      <c r="H109">
        <v>0</v>
      </c>
      <c r="I109">
        <v>0</v>
      </c>
      <c r="J109" t="s">
        <v>518</v>
      </c>
      <c r="K109">
        <v>10.5</v>
      </c>
      <c r="M109" t="s">
        <v>15</v>
      </c>
      <c r="N109" t="s">
        <v>960</v>
      </c>
      <c r="O109" t="s">
        <v>960</v>
      </c>
      <c r="P109" t="s">
        <v>960</v>
      </c>
    </row>
    <row r="110" spans="1:16" x14ac:dyDescent="0.35">
      <c r="A110">
        <v>1000</v>
      </c>
      <c r="B110">
        <v>0</v>
      </c>
      <c r="C110">
        <v>3</v>
      </c>
      <c r="D110" t="s">
        <v>174</v>
      </c>
      <c r="E110" t="s">
        <v>11</v>
      </c>
      <c r="F110" t="s">
        <v>948</v>
      </c>
      <c r="G110">
        <v>30.2</v>
      </c>
      <c r="H110">
        <v>0</v>
      </c>
      <c r="I110">
        <v>0</v>
      </c>
      <c r="J110" t="s">
        <v>710</v>
      </c>
      <c r="K110">
        <v>8.7125000000000004</v>
      </c>
      <c r="M110" t="s">
        <v>15</v>
      </c>
      <c r="N110" t="s">
        <v>960</v>
      </c>
      <c r="O110" t="s">
        <v>960</v>
      </c>
      <c r="P110" t="s">
        <v>960</v>
      </c>
    </row>
    <row r="111" spans="1:16" x14ac:dyDescent="0.35">
      <c r="A111">
        <v>1001</v>
      </c>
      <c r="B111">
        <v>0</v>
      </c>
      <c r="C111">
        <v>2</v>
      </c>
      <c r="D111" t="s">
        <v>175</v>
      </c>
      <c r="E111" t="s">
        <v>11</v>
      </c>
      <c r="F111" t="s">
        <v>951</v>
      </c>
      <c r="G111">
        <v>18.5</v>
      </c>
      <c r="H111">
        <v>0</v>
      </c>
      <c r="I111">
        <v>0</v>
      </c>
      <c r="J111" t="s">
        <v>711</v>
      </c>
      <c r="K111">
        <v>13</v>
      </c>
      <c r="L111" t="s">
        <v>176</v>
      </c>
      <c r="M111" t="s">
        <v>15</v>
      </c>
      <c r="N111" t="s">
        <v>960</v>
      </c>
      <c r="O111" t="s">
        <v>960</v>
      </c>
      <c r="P111" t="s">
        <v>960</v>
      </c>
    </row>
    <row r="112" spans="1:16" x14ac:dyDescent="0.35">
      <c r="A112">
        <v>1241</v>
      </c>
      <c r="B112">
        <v>1</v>
      </c>
      <c r="C112">
        <v>2</v>
      </c>
      <c r="D112" t="s">
        <v>512</v>
      </c>
      <c r="E112" t="s">
        <v>14</v>
      </c>
      <c r="F112" t="s">
        <v>948</v>
      </c>
      <c r="G112">
        <v>31</v>
      </c>
      <c r="H112">
        <v>0</v>
      </c>
      <c r="I112">
        <v>0</v>
      </c>
      <c r="J112" t="s">
        <v>513</v>
      </c>
      <c r="K112">
        <v>21</v>
      </c>
      <c r="M112" t="s">
        <v>15</v>
      </c>
      <c r="N112" t="s">
        <v>960</v>
      </c>
      <c r="O112" t="s">
        <v>960</v>
      </c>
      <c r="P112" t="s">
        <v>960</v>
      </c>
    </row>
    <row r="113" spans="1:16" x14ac:dyDescent="0.35">
      <c r="A113">
        <v>1240</v>
      </c>
      <c r="B113">
        <v>0</v>
      </c>
      <c r="C113">
        <v>2</v>
      </c>
      <c r="D113" t="s">
        <v>511</v>
      </c>
      <c r="E113" t="s">
        <v>11</v>
      </c>
      <c r="F113" t="s">
        <v>951</v>
      </c>
      <c r="G113">
        <v>24</v>
      </c>
      <c r="H113">
        <v>0</v>
      </c>
      <c r="I113">
        <v>0</v>
      </c>
      <c r="J113" t="s">
        <v>894</v>
      </c>
      <c r="K113">
        <v>13.5</v>
      </c>
      <c r="M113" t="s">
        <v>15</v>
      </c>
      <c r="N113" t="s">
        <v>960</v>
      </c>
      <c r="O113" t="s">
        <v>960</v>
      </c>
      <c r="P113" t="s">
        <v>960</v>
      </c>
    </row>
    <row r="114" spans="1:16" x14ac:dyDescent="0.35">
      <c r="A114">
        <v>1238</v>
      </c>
      <c r="B114">
        <v>0</v>
      </c>
      <c r="C114">
        <v>2</v>
      </c>
      <c r="D114" t="s">
        <v>509</v>
      </c>
      <c r="E114" t="s">
        <v>11</v>
      </c>
      <c r="F114" t="s">
        <v>951</v>
      </c>
      <c r="G114">
        <v>26</v>
      </c>
      <c r="H114">
        <v>0</v>
      </c>
      <c r="I114">
        <v>0</v>
      </c>
      <c r="J114" t="s">
        <v>892</v>
      </c>
      <c r="K114">
        <v>13</v>
      </c>
      <c r="M114" t="s">
        <v>15</v>
      </c>
      <c r="N114" t="s">
        <v>960</v>
      </c>
      <c r="O114" t="s">
        <v>960</v>
      </c>
      <c r="P114" t="s">
        <v>960</v>
      </c>
    </row>
    <row r="115" spans="1:16" x14ac:dyDescent="0.35">
      <c r="A115">
        <v>1237</v>
      </c>
      <c r="B115">
        <v>1</v>
      </c>
      <c r="C115">
        <v>3</v>
      </c>
      <c r="D115" t="s">
        <v>508</v>
      </c>
      <c r="E115" t="s">
        <v>14</v>
      </c>
      <c r="F115" t="s">
        <v>950</v>
      </c>
      <c r="G115">
        <v>16</v>
      </c>
      <c r="H115">
        <v>0</v>
      </c>
      <c r="I115">
        <v>0</v>
      </c>
      <c r="J115" t="s">
        <v>891</v>
      </c>
      <c r="K115">
        <v>7.65</v>
      </c>
      <c r="M115" t="s">
        <v>15</v>
      </c>
      <c r="N115" t="s">
        <v>952</v>
      </c>
      <c r="O115" t="s">
        <v>960</v>
      </c>
      <c r="P115" t="s">
        <v>960</v>
      </c>
    </row>
    <row r="116" spans="1:16" x14ac:dyDescent="0.35">
      <c r="A116">
        <v>1006</v>
      </c>
      <c r="B116">
        <v>1</v>
      </c>
      <c r="C116">
        <v>1</v>
      </c>
      <c r="D116" t="s">
        <v>183</v>
      </c>
      <c r="E116" t="s">
        <v>14</v>
      </c>
      <c r="F116" t="s">
        <v>949</v>
      </c>
      <c r="G116">
        <v>63</v>
      </c>
      <c r="H116">
        <v>1</v>
      </c>
      <c r="I116">
        <v>0</v>
      </c>
      <c r="J116" t="s">
        <v>687</v>
      </c>
      <c r="K116">
        <v>221.7792</v>
      </c>
      <c r="L116" t="s">
        <v>139</v>
      </c>
      <c r="M116" t="s">
        <v>15</v>
      </c>
      <c r="N116" t="s">
        <v>960</v>
      </c>
      <c r="O116" t="s">
        <v>952</v>
      </c>
      <c r="P116" t="s">
        <v>960</v>
      </c>
    </row>
    <row r="117" spans="1:16" x14ac:dyDescent="0.35">
      <c r="A117">
        <v>1236</v>
      </c>
      <c r="B117">
        <v>0</v>
      </c>
      <c r="C117">
        <v>3</v>
      </c>
      <c r="D117" t="s">
        <v>507</v>
      </c>
      <c r="E117" t="s">
        <v>11</v>
      </c>
      <c r="F117" t="s">
        <v>948</v>
      </c>
      <c r="G117">
        <v>30.2</v>
      </c>
      <c r="H117">
        <v>1</v>
      </c>
      <c r="I117">
        <v>1</v>
      </c>
      <c r="J117" t="s">
        <v>294</v>
      </c>
      <c r="K117">
        <v>14.5</v>
      </c>
      <c r="M117" t="s">
        <v>15</v>
      </c>
      <c r="N117" t="s">
        <v>960</v>
      </c>
      <c r="O117" t="s">
        <v>952</v>
      </c>
      <c r="P117" t="s">
        <v>952</v>
      </c>
    </row>
    <row r="118" spans="1:16" x14ac:dyDescent="0.35">
      <c r="A118">
        <v>1234</v>
      </c>
      <c r="B118">
        <v>0</v>
      </c>
      <c r="C118">
        <v>3</v>
      </c>
      <c r="D118" t="s">
        <v>503</v>
      </c>
      <c r="E118" t="s">
        <v>11</v>
      </c>
      <c r="F118" t="s">
        <v>948</v>
      </c>
      <c r="G118">
        <v>30.2</v>
      </c>
      <c r="H118">
        <v>1</v>
      </c>
      <c r="I118">
        <v>9</v>
      </c>
      <c r="J118" t="s">
        <v>774</v>
      </c>
      <c r="K118">
        <v>69.55</v>
      </c>
      <c r="M118" t="s">
        <v>15</v>
      </c>
      <c r="N118" t="s">
        <v>960</v>
      </c>
      <c r="O118" t="s">
        <v>952</v>
      </c>
      <c r="P118" t="s">
        <v>952</v>
      </c>
    </row>
    <row r="119" spans="1:16" x14ac:dyDescent="0.35">
      <c r="A119">
        <v>1009</v>
      </c>
      <c r="B119">
        <v>1</v>
      </c>
      <c r="C119">
        <v>3</v>
      </c>
      <c r="D119" t="s">
        <v>186</v>
      </c>
      <c r="E119" t="s">
        <v>14</v>
      </c>
      <c r="F119" t="s">
        <v>950</v>
      </c>
      <c r="G119">
        <v>1</v>
      </c>
      <c r="H119">
        <v>1</v>
      </c>
      <c r="I119">
        <v>1</v>
      </c>
      <c r="J119" t="s">
        <v>718</v>
      </c>
      <c r="K119">
        <v>16.7</v>
      </c>
      <c r="L119" t="s">
        <v>188</v>
      </c>
      <c r="M119" t="s">
        <v>15</v>
      </c>
      <c r="N119" t="s">
        <v>952</v>
      </c>
      <c r="O119" t="s">
        <v>952</v>
      </c>
      <c r="P119" t="s">
        <v>952</v>
      </c>
    </row>
    <row r="120" spans="1:16" x14ac:dyDescent="0.35">
      <c r="A120">
        <v>1233</v>
      </c>
      <c r="B120">
        <v>0</v>
      </c>
      <c r="C120">
        <v>3</v>
      </c>
      <c r="D120" t="s">
        <v>502</v>
      </c>
      <c r="E120" t="s">
        <v>11</v>
      </c>
      <c r="F120" t="s">
        <v>948</v>
      </c>
      <c r="G120">
        <v>32</v>
      </c>
      <c r="H120">
        <v>0</v>
      </c>
      <c r="I120">
        <v>0</v>
      </c>
      <c r="J120" t="s">
        <v>889</v>
      </c>
      <c r="K120">
        <v>7.5792000000000002</v>
      </c>
      <c r="M120" t="s">
        <v>15</v>
      </c>
      <c r="N120" t="s">
        <v>960</v>
      </c>
      <c r="O120" t="s">
        <v>960</v>
      </c>
      <c r="P120" t="s">
        <v>960</v>
      </c>
    </row>
    <row r="121" spans="1:16" x14ac:dyDescent="0.35">
      <c r="A121">
        <v>1011</v>
      </c>
      <c r="B121">
        <v>1</v>
      </c>
      <c r="C121">
        <v>2</v>
      </c>
      <c r="D121" t="s">
        <v>191</v>
      </c>
      <c r="E121" t="s">
        <v>14</v>
      </c>
      <c r="F121" t="s">
        <v>951</v>
      </c>
      <c r="G121">
        <v>29</v>
      </c>
      <c r="H121">
        <v>1</v>
      </c>
      <c r="I121">
        <v>0</v>
      </c>
      <c r="J121" t="s">
        <v>720</v>
      </c>
      <c r="K121">
        <v>26</v>
      </c>
      <c r="M121" t="s">
        <v>15</v>
      </c>
      <c r="N121" t="s">
        <v>960</v>
      </c>
      <c r="O121" t="s">
        <v>952</v>
      </c>
      <c r="P121" t="s">
        <v>960</v>
      </c>
    </row>
    <row r="122" spans="1:16" x14ac:dyDescent="0.35">
      <c r="A122">
        <v>1012</v>
      </c>
      <c r="B122">
        <v>1</v>
      </c>
      <c r="C122">
        <v>2</v>
      </c>
      <c r="D122" t="s">
        <v>193</v>
      </c>
      <c r="E122" t="s">
        <v>14</v>
      </c>
      <c r="F122" t="s">
        <v>950</v>
      </c>
      <c r="G122">
        <v>12</v>
      </c>
      <c r="H122">
        <v>0</v>
      </c>
      <c r="I122">
        <v>0</v>
      </c>
      <c r="J122" t="s">
        <v>194</v>
      </c>
      <c r="K122">
        <v>15.75</v>
      </c>
      <c r="M122" t="s">
        <v>15</v>
      </c>
      <c r="N122" t="s">
        <v>952</v>
      </c>
      <c r="O122" t="s">
        <v>960</v>
      </c>
      <c r="P122" t="s">
        <v>960</v>
      </c>
    </row>
    <row r="123" spans="1:16" x14ac:dyDescent="0.35">
      <c r="A123">
        <v>1232</v>
      </c>
      <c r="B123">
        <v>0</v>
      </c>
      <c r="C123">
        <v>2</v>
      </c>
      <c r="D123" t="s">
        <v>500</v>
      </c>
      <c r="E123" t="s">
        <v>11</v>
      </c>
      <c r="F123" t="s">
        <v>951</v>
      </c>
      <c r="G123">
        <v>18</v>
      </c>
      <c r="H123">
        <v>0</v>
      </c>
      <c r="I123">
        <v>0</v>
      </c>
      <c r="J123" t="s">
        <v>501</v>
      </c>
      <c r="K123">
        <v>10.5</v>
      </c>
      <c r="M123" t="s">
        <v>15</v>
      </c>
      <c r="N123" t="s">
        <v>960</v>
      </c>
      <c r="O123" t="s">
        <v>960</v>
      </c>
      <c r="P123" t="s">
        <v>960</v>
      </c>
    </row>
    <row r="124" spans="1:16" x14ac:dyDescent="0.35">
      <c r="A124">
        <v>1230</v>
      </c>
      <c r="B124">
        <v>0</v>
      </c>
      <c r="C124">
        <v>2</v>
      </c>
      <c r="D124" t="s">
        <v>498</v>
      </c>
      <c r="E124" t="s">
        <v>11</v>
      </c>
      <c r="F124" t="s">
        <v>951</v>
      </c>
      <c r="G124">
        <v>25</v>
      </c>
      <c r="H124">
        <v>0</v>
      </c>
      <c r="I124">
        <v>0</v>
      </c>
      <c r="J124" t="s">
        <v>63</v>
      </c>
      <c r="K124">
        <v>31.5</v>
      </c>
      <c r="M124" t="s">
        <v>15</v>
      </c>
      <c r="N124" t="s">
        <v>960</v>
      </c>
      <c r="O124" t="s">
        <v>960</v>
      </c>
      <c r="P124" t="s">
        <v>960</v>
      </c>
    </row>
    <row r="125" spans="1:16" x14ac:dyDescent="0.35">
      <c r="A125">
        <v>1015</v>
      </c>
      <c r="B125">
        <v>0</v>
      </c>
      <c r="C125">
        <v>3</v>
      </c>
      <c r="D125" t="s">
        <v>198</v>
      </c>
      <c r="E125" t="s">
        <v>11</v>
      </c>
      <c r="F125" t="s">
        <v>951</v>
      </c>
      <c r="G125">
        <v>28</v>
      </c>
      <c r="H125">
        <v>0</v>
      </c>
      <c r="I125">
        <v>0</v>
      </c>
      <c r="J125" t="s">
        <v>722</v>
      </c>
      <c r="K125">
        <v>7.25</v>
      </c>
      <c r="M125" t="s">
        <v>15</v>
      </c>
      <c r="N125" t="s">
        <v>960</v>
      </c>
      <c r="O125" t="s">
        <v>960</v>
      </c>
      <c r="P125" t="s">
        <v>960</v>
      </c>
    </row>
    <row r="126" spans="1:16" x14ac:dyDescent="0.35">
      <c r="A126">
        <v>1228</v>
      </c>
      <c r="B126">
        <v>0</v>
      </c>
      <c r="C126">
        <v>2</v>
      </c>
      <c r="D126" t="s">
        <v>496</v>
      </c>
      <c r="E126" t="s">
        <v>11</v>
      </c>
      <c r="F126" t="s">
        <v>948</v>
      </c>
      <c r="G126">
        <v>32</v>
      </c>
      <c r="H126">
        <v>0</v>
      </c>
      <c r="I126">
        <v>0</v>
      </c>
      <c r="J126" t="s">
        <v>886</v>
      </c>
      <c r="K126">
        <v>13</v>
      </c>
      <c r="M126" t="s">
        <v>15</v>
      </c>
      <c r="N126" t="s">
        <v>960</v>
      </c>
      <c r="O126" t="s">
        <v>960</v>
      </c>
      <c r="P126" t="s">
        <v>960</v>
      </c>
    </row>
    <row r="127" spans="1:16" x14ac:dyDescent="0.35">
      <c r="A127">
        <v>1017</v>
      </c>
      <c r="B127">
        <v>1</v>
      </c>
      <c r="C127">
        <v>3</v>
      </c>
      <c r="D127" t="s">
        <v>200</v>
      </c>
      <c r="E127" t="s">
        <v>14</v>
      </c>
      <c r="F127" t="s">
        <v>950</v>
      </c>
      <c r="G127">
        <v>17</v>
      </c>
      <c r="H127">
        <v>0</v>
      </c>
      <c r="I127">
        <v>1</v>
      </c>
      <c r="J127" t="s">
        <v>724</v>
      </c>
      <c r="K127">
        <v>16.100000000000001</v>
      </c>
      <c r="M127" t="s">
        <v>15</v>
      </c>
      <c r="N127" t="s">
        <v>952</v>
      </c>
      <c r="O127" t="s">
        <v>960</v>
      </c>
      <c r="P127" t="s">
        <v>952</v>
      </c>
    </row>
    <row r="128" spans="1:16" x14ac:dyDescent="0.35">
      <c r="A128">
        <v>1018</v>
      </c>
      <c r="B128">
        <v>0</v>
      </c>
      <c r="C128">
        <v>3</v>
      </c>
      <c r="D128" t="s">
        <v>201</v>
      </c>
      <c r="E128" t="s">
        <v>11</v>
      </c>
      <c r="F128" t="s">
        <v>951</v>
      </c>
      <c r="G128">
        <v>22</v>
      </c>
      <c r="H128">
        <v>0</v>
      </c>
      <c r="I128">
        <v>0</v>
      </c>
      <c r="J128" t="s">
        <v>725</v>
      </c>
      <c r="K128">
        <v>7.7957999999999998</v>
      </c>
      <c r="M128" t="s">
        <v>15</v>
      </c>
      <c r="N128" t="s">
        <v>960</v>
      </c>
      <c r="O128" t="s">
        <v>960</v>
      </c>
      <c r="P128" t="s">
        <v>960</v>
      </c>
    </row>
    <row r="129" spans="1:16" x14ac:dyDescent="0.35">
      <c r="A129">
        <v>1227</v>
      </c>
      <c r="B129">
        <v>0</v>
      </c>
      <c r="C129">
        <v>1</v>
      </c>
      <c r="D129" t="s">
        <v>494</v>
      </c>
      <c r="E129" t="s">
        <v>11</v>
      </c>
      <c r="F129" t="s">
        <v>948</v>
      </c>
      <c r="G129">
        <v>30</v>
      </c>
      <c r="H129">
        <v>0</v>
      </c>
      <c r="I129">
        <v>0</v>
      </c>
      <c r="J129" t="s">
        <v>885</v>
      </c>
      <c r="K129">
        <v>26</v>
      </c>
      <c r="L129" t="s">
        <v>495</v>
      </c>
      <c r="M129" t="s">
        <v>15</v>
      </c>
      <c r="N129" t="s">
        <v>960</v>
      </c>
      <c r="O129" t="s">
        <v>960</v>
      </c>
      <c r="P129" t="s">
        <v>960</v>
      </c>
    </row>
    <row r="130" spans="1:16" x14ac:dyDescent="0.35">
      <c r="A130">
        <v>1020</v>
      </c>
      <c r="B130">
        <v>0</v>
      </c>
      <c r="C130">
        <v>2</v>
      </c>
      <c r="D130" t="s">
        <v>203</v>
      </c>
      <c r="E130" t="s">
        <v>11</v>
      </c>
      <c r="F130" t="s">
        <v>948</v>
      </c>
      <c r="G130">
        <v>42</v>
      </c>
      <c r="H130">
        <v>0</v>
      </c>
      <c r="I130">
        <v>0</v>
      </c>
      <c r="J130" t="s">
        <v>727</v>
      </c>
      <c r="K130">
        <v>13</v>
      </c>
      <c r="M130" t="s">
        <v>15</v>
      </c>
      <c r="N130" t="s">
        <v>960</v>
      </c>
      <c r="O130" t="s">
        <v>960</v>
      </c>
      <c r="P130" t="s">
        <v>960</v>
      </c>
    </row>
    <row r="131" spans="1:16" x14ac:dyDescent="0.35">
      <c r="A131">
        <v>1021</v>
      </c>
      <c r="B131">
        <v>0</v>
      </c>
      <c r="C131">
        <v>3</v>
      </c>
      <c r="D131" t="s">
        <v>204</v>
      </c>
      <c r="E131" t="s">
        <v>11</v>
      </c>
      <c r="F131" t="s">
        <v>951</v>
      </c>
      <c r="G131">
        <v>24</v>
      </c>
      <c r="H131">
        <v>0</v>
      </c>
      <c r="I131">
        <v>0</v>
      </c>
      <c r="J131" t="s">
        <v>728</v>
      </c>
      <c r="K131">
        <v>8.0500000000000007</v>
      </c>
      <c r="M131" t="s">
        <v>15</v>
      </c>
      <c r="N131" t="s">
        <v>960</v>
      </c>
      <c r="O131" t="s">
        <v>960</v>
      </c>
      <c r="P131" t="s">
        <v>960</v>
      </c>
    </row>
    <row r="132" spans="1:16" x14ac:dyDescent="0.35">
      <c r="A132">
        <v>1022</v>
      </c>
      <c r="B132">
        <v>0</v>
      </c>
      <c r="C132">
        <v>3</v>
      </c>
      <c r="D132" t="s">
        <v>205</v>
      </c>
      <c r="E132" t="s">
        <v>11</v>
      </c>
      <c r="F132" t="s">
        <v>948</v>
      </c>
      <c r="G132">
        <v>32</v>
      </c>
      <c r="H132">
        <v>0</v>
      </c>
      <c r="I132">
        <v>0</v>
      </c>
      <c r="J132" t="s">
        <v>729</v>
      </c>
      <c r="K132">
        <v>8.0500000000000007</v>
      </c>
      <c r="M132" t="s">
        <v>15</v>
      </c>
      <c r="N132" t="s">
        <v>960</v>
      </c>
      <c r="O132" t="s">
        <v>960</v>
      </c>
      <c r="P132" t="s">
        <v>960</v>
      </c>
    </row>
    <row r="133" spans="1:16" x14ac:dyDescent="0.35">
      <c r="A133">
        <v>1226</v>
      </c>
      <c r="B133">
        <v>0</v>
      </c>
      <c r="C133">
        <v>3</v>
      </c>
      <c r="D133" t="s">
        <v>493</v>
      </c>
      <c r="E133" t="s">
        <v>11</v>
      </c>
      <c r="F133" t="s">
        <v>951</v>
      </c>
      <c r="G133">
        <v>27</v>
      </c>
      <c r="H133">
        <v>0</v>
      </c>
      <c r="I133">
        <v>0</v>
      </c>
      <c r="J133" t="s">
        <v>884</v>
      </c>
      <c r="K133">
        <v>7.8958000000000004</v>
      </c>
      <c r="M133" t="s">
        <v>15</v>
      </c>
      <c r="N133" t="s">
        <v>960</v>
      </c>
      <c r="O133" t="s">
        <v>960</v>
      </c>
      <c r="P133" t="s">
        <v>960</v>
      </c>
    </row>
    <row r="134" spans="1:16" x14ac:dyDescent="0.35">
      <c r="A134">
        <v>1024</v>
      </c>
      <c r="B134">
        <v>1</v>
      </c>
      <c r="C134">
        <v>3</v>
      </c>
      <c r="D134" t="s">
        <v>209</v>
      </c>
      <c r="E134" t="s">
        <v>14</v>
      </c>
      <c r="F134" t="s">
        <v>948</v>
      </c>
      <c r="G134">
        <v>30.2</v>
      </c>
      <c r="H134">
        <v>0</v>
      </c>
      <c r="I134">
        <v>4</v>
      </c>
      <c r="J134" t="s">
        <v>731</v>
      </c>
      <c r="K134">
        <v>25.466699999999999</v>
      </c>
      <c r="M134" t="s">
        <v>15</v>
      </c>
      <c r="N134" t="s">
        <v>960</v>
      </c>
      <c r="O134" t="s">
        <v>960</v>
      </c>
      <c r="P134" t="s">
        <v>952</v>
      </c>
    </row>
    <row r="135" spans="1:16" x14ac:dyDescent="0.35">
      <c r="A135">
        <v>1222</v>
      </c>
      <c r="B135">
        <v>1</v>
      </c>
      <c r="C135">
        <v>2</v>
      </c>
      <c r="D135" t="s">
        <v>487</v>
      </c>
      <c r="E135" t="s">
        <v>14</v>
      </c>
      <c r="F135" t="s">
        <v>948</v>
      </c>
      <c r="G135">
        <v>48</v>
      </c>
      <c r="H135">
        <v>0</v>
      </c>
      <c r="I135">
        <v>2</v>
      </c>
      <c r="J135" t="s">
        <v>267</v>
      </c>
      <c r="K135">
        <v>36.75</v>
      </c>
      <c r="M135" t="s">
        <v>15</v>
      </c>
      <c r="N135" t="s">
        <v>960</v>
      </c>
      <c r="O135" t="s">
        <v>960</v>
      </c>
      <c r="P135" t="s">
        <v>952</v>
      </c>
    </row>
    <row r="136" spans="1:16" x14ac:dyDescent="0.35">
      <c r="A136">
        <v>1026</v>
      </c>
      <c r="B136">
        <v>0</v>
      </c>
      <c r="C136">
        <v>3</v>
      </c>
      <c r="D136" t="s">
        <v>211</v>
      </c>
      <c r="E136" t="s">
        <v>11</v>
      </c>
      <c r="F136" t="s">
        <v>948</v>
      </c>
      <c r="G136">
        <v>43</v>
      </c>
      <c r="H136">
        <v>0</v>
      </c>
      <c r="I136">
        <v>0</v>
      </c>
      <c r="J136" t="s">
        <v>733</v>
      </c>
      <c r="K136">
        <v>7.8958000000000004</v>
      </c>
      <c r="M136" t="s">
        <v>15</v>
      </c>
      <c r="N136" t="s">
        <v>960</v>
      </c>
      <c r="O136" t="s">
        <v>960</v>
      </c>
      <c r="P136" t="s">
        <v>960</v>
      </c>
    </row>
    <row r="137" spans="1:16" x14ac:dyDescent="0.35">
      <c r="A137">
        <v>1027</v>
      </c>
      <c r="B137">
        <v>0</v>
      </c>
      <c r="C137">
        <v>3</v>
      </c>
      <c r="D137" t="s">
        <v>212</v>
      </c>
      <c r="E137" t="s">
        <v>11</v>
      </c>
      <c r="F137" t="s">
        <v>951</v>
      </c>
      <c r="G137">
        <v>24</v>
      </c>
      <c r="H137">
        <v>0</v>
      </c>
      <c r="I137">
        <v>0</v>
      </c>
      <c r="J137" t="s">
        <v>734</v>
      </c>
      <c r="K137">
        <v>7.8541999999999996</v>
      </c>
      <c r="M137" t="s">
        <v>15</v>
      </c>
      <c r="N137" t="s">
        <v>960</v>
      </c>
      <c r="O137" t="s">
        <v>960</v>
      </c>
      <c r="P137" t="s">
        <v>960</v>
      </c>
    </row>
    <row r="138" spans="1:16" x14ac:dyDescent="0.35">
      <c r="A138">
        <v>1221</v>
      </c>
      <c r="B138">
        <v>0</v>
      </c>
      <c r="C138">
        <v>2</v>
      </c>
      <c r="D138" t="s">
        <v>486</v>
      </c>
      <c r="E138" t="s">
        <v>11</v>
      </c>
      <c r="F138" t="s">
        <v>951</v>
      </c>
      <c r="G138">
        <v>21</v>
      </c>
      <c r="H138">
        <v>0</v>
      </c>
      <c r="I138">
        <v>0</v>
      </c>
      <c r="J138" t="s">
        <v>880</v>
      </c>
      <c r="K138">
        <v>13</v>
      </c>
      <c r="M138" t="s">
        <v>15</v>
      </c>
      <c r="N138" t="s">
        <v>960</v>
      </c>
      <c r="O138" t="s">
        <v>960</v>
      </c>
      <c r="P138" t="s">
        <v>960</v>
      </c>
    </row>
    <row r="139" spans="1:16" x14ac:dyDescent="0.35">
      <c r="A139">
        <v>1029</v>
      </c>
      <c r="B139">
        <v>0</v>
      </c>
      <c r="C139">
        <v>2</v>
      </c>
      <c r="D139" t="s">
        <v>214</v>
      </c>
      <c r="E139" t="s">
        <v>11</v>
      </c>
      <c r="F139" t="s">
        <v>951</v>
      </c>
      <c r="G139">
        <v>26</v>
      </c>
      <c r="H139">
        <v>0</v>
      </c>
      <c r="I139">
        <v>0</v>
      </c>
      <c r="J139" t="s">
        <v>736</v>
      </c>
      <c r="K139">
        <v>13</v>
      </c>
      <c r="M139" t="s">
        <v>15</v>
      </c>
      <c r="N139" t="s">
        <v>960</v>
      </c>
      <c r="O139" t="s">
        <v>960</v>
      </c>
      <c r="P139" t="s">
        <v>960</v>
      </c>
    </row>
    <row r="140" spans="1:16" x14ac:dyDescent="0.35">
      <c r="A140">
        <v>1030</v>
      </c>
      <c r="B140">
        <v>1</v>
      </c>
      <c r="C140">
        <v>3</v>
      </c>
      <c r="D140" t="s">
        <v>215</v>
      </c>
      <c r="E140" t="s">
        <v>14</v>
      </c>
      <c r="F140" t="s">
        <v>951</v>
      </c>
      <c r="G140">
        <v>23</v>
      </c>
      <c r="H140">
        <v>0</v>
      </c>
      <c r="I140">
        <v>0</v>
      </c>
      <c r="J140" t="s">
        <v>737</v>
      </c>
      <c r="K140">
        <v>8.0500000000000007</v>
      </c>
      <c r="M140" t="s">
        <v>15</v>
      </c>
      <c r="N140" t="s">
        <v>960</v>
      </c>
      <c r="O140" t="s">
        <v>960</v>
      </c>
      <c r="P140" t="s">
        <v>960</v>
      </c>
    </row>
    <row r="141" spans="1:16" x14ac:dyDescent="0.35">
      <c r="A141">
        <v>1031</v>
      </c>
      <c r="B141">
        <v>0</v>
      </c>
      <c r="C141">
        <v>3</v>
      </c>
      <c r="D141" t="s">
        <v>217</v>
      </c>
      <c r="E141" t="s">
        <v>11</v>
      </c>
      <c r="F141" t="s">
        <v>948</v>
      </c>
      <c r="G141">
        <v>40</v>
      </c>
      <c r="H141">
        <v>1</v>
      </c>
      <c r="I141">
        <v>6</v>
      </c>
      <c r="J141" t="s">
        <v>738</v>
      </c>
      <c r="K141">
        <v>46.9</v>
      </c>
      <c r="M141" t="s">
        <v>15</v>
      </c>
      <c r="N141" t="s">
        <v>960</v>
      </c>
      <c r="O141" t="s">
        <v>952</v>
      </c>
      <c r="P141" t="s">
        <v>952</v>
      </c>
    </row>
    <row r="142" spans="1:16" x14ac:dyDescent="0.35">
      <c r="A142">
        <v>1032</v>
      </c>
      <c r="B142">
        <v>1</v>
      </c>
      <c r="C142">
        <v>3</v>
      </c>
      <c r="D142" t="s">
        <v>219</v>
      </c>
      <c r="E142" t="s">
        <v>14</v>
      </c>
      <c r="F142" t="s">
        <v>950</v>
      </c>
      <c r="G142">
        <v>10</v>
      </c>
      <c r="H142">
        <v>5</v>
      </c>
      <c r="I142">
        <v>2</v>
      </c>
      <c r="J142" t="s">
        <v>738</v>
      </c>
      <c r="K142">
        <v>46.9</v>
      </c>
      <c r="M142" t="s">
        <v>15</v>
      </c>
      <c r="N142" t="s">
        <v>952</v>
      </c>
      <c r="O142" t="s">
        <v>952</v>
      </c>
      <c r="P142" t="s">
        <v>952</v>
      </c>
    </row>
    <row r="143" spans="1:16" x14ac:dyDescent="0.35">
      <c r="A143">
        <v>1033</v>
      </c>
      <c r="B143">
        <v>1</v>
      </c>
      <c r="C143">
        <v>1</v>
      </c>
      <c r="D143" t="s">
        <v>220</v>
      </c>
      <c r="E143" t="s">
        <v>14</v>
      </c>
      <c r="F143" t="s">
        <v>948</v>
      </c>
      <c r="G143">
        <v>33</v>
      </c>
      <c r="H143">
        <v>0</v>
      </c>
      <c r="I143">
        <v>0</v>
      </c>
      <c r="J143" t="s">
        <v>739</v>
      </c>
      <c r="K143">
        <v>151.55000000000001</v>
      </c>
      <c r="M143" t="s">
        <v>15</v>
      </c>
      <c r="N143" t="s">
        <v>960</v>
      </c>
      <c r="O143" t="s">
        <v>960</v>
      </c>
      <c r="P143" t="s">
        <v>960</v>
      </c>
    </row>
    <row r="144" spans="1:16" x14ac:dyDescent="0.35">
      <c r="A144">
        <v>1220</v>
      </c>
      <c r="B144">
        <v>0</v>
      </c>
      <c r="C144">
        <v>2</v>
      </c>
      <c r="D144" t="s">
        <v>485</v>
      </c>
      <c r="E144" t="s">
        <v>11</v>
      </c>
      <c r="F144" t="s">
        <v>951</v>
      </c>
      <c r="G144">
        <v>29</v>
      </c>
      <c r="H144">
        <v>1</v>
      </c>
      <c r="I144">
        <v>0</v>
      </c>
      <c r="J144" t="s">
        <v>879</v>
      </c>
      <c r="K144">
        <v>26</v>
      </c>
      <c r="M144" t="s">
        <v>15</v>
      </c>
      <c r="N144" t="s">
        <v>960</v>
      </c>
      <c r="O144" t="s">
        <v>952</v>
      </c>
      <c r="P144" t="s">
        <v>960</v>
      </c>
    </row>
    <row r="145" spans="1:16" x14ac:dyDescent="0.35">
      <c r="A145">
        <v>1035</v>
      </c>
      <c r="B145">
        <v>0</v>
      </c>
      <c r="C145">
        <v>2</v>
      </c>
      <c r="D145" t="s">
        <v>222</v>
      </c>
      <c r="E145" t="s">
        <v>11</v>
      </c>
      <c r="F145" t="s">
        <v>951</v>
      </c>
      <c r="G145">
        <v>28</v>
      </c>
      <c r="H145">
        <v>0</v>
      </c>
      <c r="I145">
        <v>0</v>
      </c>
      <c r="J145" t="s">
        <v>740</v>
      </c>
      <c r="K145">
        <v>26</v>
      </c>
      <c r="M145" t="s">
        <v>15</v>
      </c>
      <c r="N145" t="s">
        <v>960</v>
      </c>
      <c r="O145" t="s">
        <v>960</v>
      </c>
      <c r="P145" t="s">
        <v>960</v>
      </c>
    </row>
    <row r="146" spans="1:16" x14ac:dyDescent="0.35">
      <c r="A146">
        <v>1036</v>
      </c>
      <c r="B146">
        <v>0</v>
      </c>
      <c r="C146">
        <v>1</v>
      </c>
      <c r="D146" t="s">
        <v>223</v>
      </c>
      <c r="E146" t="s">
        <v>11</v>
      </c>
      <c r="F146" t="s">
        <v>948</v>
      </c>
      <c r="G146">
        <v>42</v>
      </c>
      <c r="H146">
        <v>0</v>
      </c>
      <c r="I146">
        <v>0</v>
      </c>
      <c r="J146" t="s">
        <v>741</v>
      </c>
      <c r="K146">
        <v>26.55</v>
      </c>
      <c r="M146" t="s">
        <v>15</v>
      </c>
      <c r="N146" t="s">
        <v>960</v>
      </c>
      <c r="O146" t="s">
        <v>960</v>
      </c>
      <c r="P146" t="s">
        <v>960</v>
      </c>
    </row>
    <row r="147" spans="1:16" x14ac:dyDescent="0.35">
      <c r="A147">
        <v>1037</v>
      </c>
      <c r="B147">
        <v>0</v>
      </c>
      <c r="C147">
        <v>3</v>
      </c>
      <c r="D147" t="s">
        <v>224</v>
      </c>
      <c r="E147" t="s">
        <v>11</v>
      </c>
      <c r="F147" t="s">
        <v>948</v>
      </c>
      <c r="G147">
        <v>31</v>
      </c>
      <c r="H147">
        <v>3</v>
      </c>
      <c r="I147">
        <v>0</v>
      </c>
      <c r="J147" t="s">
        <v>742</v>
      </c>
      <c r="K147">
        <v>18</v>
      </c>
      <c r="M147" t="s">
        <v>15</v>
      </c>
      <c r="N147" t="s">
        <v>960</v>
      </c>
      <c r="O147" t="s">
        <v>952</v>
      </c>
      <c r="P147" t="s">
        <v>960</v>
      </c>
    </row>
    <row r="148" spans="1:16" x14ac:dyDescent="0.35">
      <c r="A148">
        <v>1038</v>
      </c>
      <c r="B148">
        <v>0</v>
      </c>
      <c r="C148">
        <v>1</v>
      </c>
      <c r="D148" t="s">
        <v>225</v>
      </c>
      <c r="E148" t="s">
        <v>11</v>
      </c>
      <c r="F148" t="s">
        <v>948</v>
      </c>
      <c r="G148">
        <v>30.2</v>
      </c>
      <c r="H148">
        <v>0</v>
      </c>
      <c r="I148">
        <v>0</v>
      </c>
      <c r="J148" t="s">
        <v>743</v>
      </c>
      <c r="K148">
        <v>51.862499999999997</v>
      </c>
      <c r="L148" t="s">
        <v>226</v>
      </c>
      <c r="M148" t="s">
        <v>15</v>
      </c>
      <c r="N148" t="s">
        <v>960</v>
      </c>
      <c r="O148" t="s">
        <v>960</v>
      </c>
      <c r="P148" t="s">
        <v>960</v>
      </c>
    </row>
    <row r="149" spans="1:16" x14ac:dyDescent="0.35">
      <c r="A149">
        <v>1039</v>
      </c>
      <c r="B149">
        <v>0</v>
      </c>
      <c r="C149">
        <v>3</v>
      </c>
      <c r="D149" t="s">
        <v>227</v>
      </c>
      <c r="E149" t="s">
        <v>11</v>
      </c>
      <c r="F149" t="s">
        <v>951</v>
      </c>
      <c r="G149">
        <v>22</v>
      </c>
      <c r="H149">
        <v>0</v>
      </c>
      <c r="I149">
        <v>0</v>
      </c>
      <c r="J149" t="s">
        <v>744</v>
      </c>
      <c r="K149">
        <v>8.0500000000000007</v>
      </c>
      <c r="M149" t="s">
        <v>15</v>
      </c>
      <c r="N149" t="s">
        <v>960</v>
      </c>
      <c r="O149" t="s">
        <v>960</v>
      </c>
      <c r="P149" t="s">
        <v>960</v>
      </c>
    </row>
    <row r="150" spans="1:16" x14ac:dyDescent="0.35">
      <c r="A150">
        <v>1040</v>
      </c>
      <c r="B150">
        <v>0</v>
      </c>
      <c r="C150">
        <v>1</v>
      </c>
      <c r="D150" t="s">
        <v>229</v>
      </c>
      <c r="E150" t="s">
        <v>11</v>
      </c>
      <c r="F150" t="s">
        <v>948</v>
      </c>
      <c r="G150">
        <v>30.2</v>
      </c>
      <c r="H150">
        <v>0</v>
      </c>
      <c r="I150">
        <v>0</v>
      </c>
      <c r="J150" t="s">
        <v>745</v>
      </c>
      <c r="K150">
        <v>26.55</v>
      </c>
      <c r="M150" t="s">
        <v>15</v>
      </c>
      <c r="N150" t="s">
        <v>960</v>
      </c>
      <c r="O150" t="s">
        <v>960</v>
      </c>
      <c r="P150" t="s">
        <v>960</v>
      </c>
    </row>
    <row r="151" spans="1:16" x14ac:dyDescent="0.35">
      <c r="A151">
        <v>1041</v>
      </c>
      <c r="B151">
        <v>0</v>
      </c>
      <c r="C151">
        <v>2</v>
      </c>
      <c r="D151" t="s">
        <v>230</v>
      </c>
      <c r="E151" t="s">
        <v>11</v>
      </c>
      <c r="F151" t="s">
        <v>948</v>
      </c>
      <c r="G151">
        <v>30</v>
      </c>
      <c r="H151">
        <v>1</v>
      </c>
      <c r="I151">
        <v>1</v>
      </c>
      <c r="J151" t="s">
        <v>746</v>
      </c>
      <c r="K151">
        <v>26</v>
      </c>
      <c r="M151" t="s">
        <v>15</v>
      </c>
      <c r="N151" t="s">
        <v>960</v>
      </c>
      <c r="O151" t="s">
        <v>952</v>
      </c>
      <c r="P151" t="s">
        <v>952</v>
      </c>
    </row>
    <row r="152" spans="1:16" x14ac:dyDescent="0.35">
      <c r="A152">
        <v>1218</v>
      </c>
      <c r="B152">
        <v>1</v>
      </c>
      <c r="C152">
        <v>2</v>
      </c>
      <c r="D152" t="s">
        <v>482</v>
      </c>
      <c r="E152" t="s">
        <v>14</v>
      </c>
      <c r="F152" t="s">
        <v>950</v>
      </c>
      <c r="G152">
        <v>12</v>
      </c>
      <c r="H152">
        <v>2</v>
      </c>
      <c r="I152">
        <v>1</v>
      </c>
      <c r="J152" t="s">
        <v>767</v>
      </c>
      <c r="K152">
        <v>39</v>
      </c>
      <c r="L152" t="s">
        <v>270</v>
      </c>
      <c r="M152" t="s">
        <v>15</v>
      </c>
      <c r="N152" t="s">
        <v>952</v>
      </c>
      <c r="O152" t="s">
        <v>952</v>
      </c>
      <c r="P152" t="s">
        <v>952</v>
      </c>
    </row>
    <row r="153" spans="1:16" x14ac:dyDescent="0.35">
      <c r="A153">
        <v>1217</v>
      </c>
      <c r="B153">
        <v>0</v>
      </c>
      <c r="C153">
        <v>3</v>
      </c>
      <c r="D153" t="s">
        <v>480</v>
      </c>
      <c r="E153" t="s">
        <v>11</v>
      </c>
      <c r="F153" t="s">
        <v>951</v>
      </c>
      <c r="G153">
        <v>23</v>
      </c>
      <c r="H153">
        <v>0</v>
      </c>
      <c r="I153">
        <v>0</v>
      </c>
      <c r="J153" t="s">
        <v>877</v>
      </c>
      <c r="K153">
        <v>7.05</v>
      </c>
      <c r="M153" t="s">
        <v>15</v>
      </c>
      <c r="N153" t="s">
        <v>960</v>
      </c>
      <c r="O153" t="s">
        <v>960</v>
      </c>
      <c r="P153" t="s">
        <v>960</v>
      </c>
    </row>
    <row r="154" spans="1:16" x14ac:dyDescent="0.35">
      <c r="A154">
        <v>1044</v>
      </c>
      <c r="B154">
        <v>0</v>
      </c>
      <c r="C154">
        <v>3</v>
      </c>
      <c r="D154" t="s">
        <v>234</v>
      </c>
      <c r="E154" t="s">
        <v>11</v>
      </c>
      <c r="F154" t="s">
        <v>949</v>
      </c>
      <c r="G154">
        <v>60.5</v>
      </c>
      <c r="H154">
        <v>0</v>
      </c>
      <c r="I154">
        <v>0</v>
      </c>
      <c r="J154" t="s">
        <v>749</v>
      </c>
      <c r="M154" t="s">
        <v>15</v>
      </c>
      <c r="N154" t="s">
        <v>960</v>
      </c>
      <c r="O154" t="s">
        <v>960</v>
      </c>
      <c r="P154" t="s">
        <v>960</v>
      </c>
    </row>
    <row r="155" spans="1:16" x14ac:dyDescent="0.35">
      <c r="A155">
        <v>1045</v>
      </c>
      <c r="B155">
        <v>1</v>
      </c>
      <c r="C155">
        <v>3</v>
      </c>
      <c r="D155" t="s">
        <v>235</v>
      </c>
      <c r="E155" t="s">
        <v>14</v>
      </c>
      <c r="F155" t="s">
        <v>948</v>
      </c>
      <c r="G155">
        <v>36</v>
      </c>
      <c r="H155">
        <v>0</v>
      </c>
      <c r="I155">
        <v>2</v>
      </c>
      <c r="J155" t="s">
        <v>750</v>
      </c>
      <c r="K155">
        <v>12.183299999999999</v>
      </c>
      <c r="M155" t="s">
        <v>15</v>
      </c>
      <c r="N155" t="s">
        <v>960</v>
      </c>
      <c r="O155" t="s">
        <v>960</v>
      </c>
      <c r="P155" t="s">
        <v>952</v>
      </c>
    </row>
    <row r="156" spans="1:16" x14ac:dyDescent="0.35">
      <c r="A156">
        <v>1046</v>
      </c>
      <c r="B156">
        <v>0</v>
      </c>
      <c r="C156">
        <v>3</v>
      </c>
      <c r="D156" t="s">
        <v>236</v>
      </c>
      <c r="E156" t="s">
        <v>11</v>
      </c>
      <c r="F156" t="s">
        <v>950</v>
      </c>
      <c r="G156">
        <v>13</v>
      </c>
      <c r="H156">
        <v>4</v>
      </c>
      <c r="I156">
        <v>2</v>
      </c>
      <c r="J156" t="s">
        <v>751</v>
      </c>
      <c r="K156">
        <v>31.387499999999999</v>
      </c>
      <c r="M156" t="s">
        <v>15</v>
      </c>
      <c r="N156" t="s">
        <v>952</v>
      </c>
      <c r="O156" t="s">
        <v>952</v>
      </c>
      <c r="P156" t="s">
        <v>952</v>
      </c>
    </row>
    <row r="157" spans="1:16" x14ac:dyDescent="0.35">
      <c r="A157">
        <v>1047</v>
      </c>
      <c r="B157">
        <v>0</v>
      </c>
      <c r="C157">
        <v>3</v>
      </c>
      <c r="D157" t="s">
        <v>237</v>
      </c>
      <c r="E157" t="s">
        <v>11</v>
      </c>
      <c r="F157" t="s">
        <v>951</v>
      </c>
      <c r="G157">
        <v>24</v>
      </c>
      <c r="H157">
        <v>0</v>
      </c>
      <c r="I157">
        <v>0</v>
      </c>
      <c r="J157" t="s">
        <v>238</v>
      </c>
      <c r="K157">
        <v>7.55</v>
      </c>
      <c r="M157" t="s">
        <v>15</v>
      </c>
      <c r="N157" t="s">
        <v>960</v>
      </c>
      <c r="O157" t="s">
        <v>960</v>
      </c>
      <c r="P157" t="s">
        <v>960</v>
      </c>
    </row>
    <row r="158" spans="1:16" x14ac:dyDescent="0.35">
      <c r="A158">
        <v>1048</v>
      </c>
      <c r="B158">
        <v>1</v>
      </c>
      <c r="C158">
        <v>1</v>
      </c>
      <c r="D158" t="s">
        <v>239</v>
      </c>
      <c r="E158" t="s">
        <v>14</v>
      </c>
      <c r="F158" t="s">
        <v>951</v>
      </c>
      <c r="G158">
        <v>29</v>
      </c>
      <c r="H158">
        <v>0</v>
      </c>
      <c r="I158">
        <v>0</v>
      </c>
      <c r="J158" t="s">
        <v>687</v>
      </c>
      <c r="K158">
        <v>221.7792</v>
      </c>
      <c r="L158" t="s">
        <v>240</v>
      </c>
      <c r="M158" t="s">
        <v>15</v>
      </c>
      <c r="N158" t="s">
        <v>960</v>
      </c>
      <c r="O158" t="s">
        <v>960</v>
      </c>
      <c r="P158" t="s">
        <v>960</v>
      </c>
    </row>
    <row r="159" spans="1:16" x14ac:dyDescent="0.35">
      <c r="A159">
        <v>1049</v>
      </c>
      <c r="B159">
        <v>1</v>
      </c>
      <c r="C159">
        <v>3</v>
      </c>
      <c r="D159" t="s">
        <v>241</v>
      </c>
      <c r="E159" t="s">
        <v>14</v>
      </c>
      <c r="F159" t="s">
        <v>951</v>
      </c>
      <c r="G159">
        <v>23</v>
      </c>
      <c r="H159">
        <v>0</v>
      </c>
      <c r="I159">
        <v>0</v>
      </c>
      <c r="J159" t="s">
        <v>752</v>
      </c>
      <c r="K159">
        <v>7.8541999999999996</v>
      </c>
      <c r="M159" t="s">
        <v>15</v>
      </c>
      <c r="N159" t="s">
        <v>960</v>
      </c>
      <c r="O159" t="s">
        <v>960</v>
      </c>
      <c r="P159" t="s">
        <v>960</v>
      </c>
    </row>
    <row r="160" spans="1:16" x14ac:dyDescent="0.35">
      <c r="A160">
        <v>1050</v>
      </c>
      <c r="B160">
        <v>0</v>
      </c>
      <c r="C160">
        <v>1</v>
      </c>
      <c r="D160" t="s">
        <v>242</v>
      </c>
      <c r="E160" t="s">
        <v>11</v>
      </c>
      <c r="F160" t="s">
        <v>948</v>
      </c>
      <c r="G160">
        <v>42</v>
      </c>
      <c r="H160">
        <v>0</v>
      </c>
      <c r="I160">
        <v>0</v>
      </c>
      <c r="J160" t="s">
        <v>753</v>
      </c>
      <c r="K160">
        <v>26.55</v>
      </c>
      <c r="L160" t="s">
        <v>243</v>
      </c>
      <c r="M160" t="s">
        <v>15</v>
      </c>
      <c r="N160" t="s">
        <v>960</v>
      </c>
      <c r="O160" t="s">
        <v>960</v>
      </c>
      <c r="P160" t="s">
        <v>960</v>
      </c>
    </row>
    <row r="161" spans="1:16" x14ac:dyDescent="0.35">
      <c r="A161">
        <v>1051</v>
      </c>
      <c r="B161">
        <v>1</v>
      </c>
      <c r="C161">
        <v>3</v>
      </c>
      <c r="D161" t="s">
        <v>244</v>
      </c>
      <c r="E161" t="s">
        <v>14</v>
      </c>
      <c r="F161" t="s">
        <v>951</v>
      </c>
      <c r="G161">
        <v>26</v>
      </c>
      <c r="H161">
        <v>0</v>
      </c>
      <c r="I161">
        <v>2</v>
      </c>
      <c r="J161" t="s">
        <v>754</v>
      </c>
      <c r="K161">
        <v>13.775</v>
      </c>
      <c r="M161" t="s">
        <v>15</v>
      </c>
      <c r="N161" t="s">
        <v>960</v>
      </c>
      <c r="O161" t="s">
        <v>960</v>
      </c>
      <c r="P161" t="s">
        <v>952</v>
      </c>
    </row>
    <row r="162" spans="1:16" x14ac:dyDescent="0.35">
      <c r="A162">
        <v>1216</v>
      </c>
      <c r="B162">
        <v>1</v>
      </c>
      <c r="C162">
        <v>1</v>
      </c>
      <c r="D162" t="s">
        <v>479</v>
      </c>
      <c r="E162" t="s">
        <v>14</v>
      </c>
      <c r="F162" t="s">
        <v>948</v>
      </c>
      <c r="G162">
        <v>39</v>
      </c>
      <c r="H162">
        <v>0</v>
      </c>
      <c r="I162">
        <v>0</v>
      </c>
      <c r="J162" t="s">
        <v>876</v>
      </c>
      <c r="K162">
        <v>211.33750000000001</v>
      </c>
      <c r="M162" t="s">
        <v>15</v>
      </c>
      <c r="N162" t="s">
        <v>960</v>
      </c>
      <c r="O162" t="s">
        <v>960</v>
      </c>
      <c r="P162" t="s">
        <v>960</v>
      </c>
    </row>
    <row r="163" spans="1:16" x14ac:dyDescent="0.35">
      <c r="A163">
        <v>1215</v>
      </c>
      <c r="B163">
        <v>0</v>
      </c>
      <c r="C163">
        <v>1</v>
      </c>
      <c r="D163" t="s">
        <v>478</v>
      </c>
      <c r="E163" t="s">
        <v>11</v>
      </c>
      <c r="F163" t="s">
        <v>948</v>
      </c>
      <c r="G163">
        <v>33</v>
      </c>
      <c r="H163">
        <v>0</v>
      </c>
      <c r="I163">
        <v>0</v>
      </c>
      <c r="J163" t="s">
        <v>875</v>
      </c>
      <c r="K163">
        <v>26.55</v>
      </c>
      <c r="M163" t="s">
        <v>15</v>
      </c>
      <c r="N163" t="s">
        <v>960</v>
      </c>
      <c r="O163" t="s">
        <v>960</v>
      </c>
      <c r="P163" t="s">
        <v>960</v>
      </c>
    </row>
    <row r="164" spans="1:16" x14ac:dyDescent="0.35">
      <c r="A164">
        <v>1054</v>
      </c>
      <c r="B164">
        <v>1</v>
      </c>
      <c r="C164">
        <v>2</v>
      </c>
      <c r="D164" t="s">
        <v>248</v>
      </c>
      <c r="E164" t="s">
        <v>14</v>
      </c>
      <c r="F164" t="s">
        <v>951</v>
      </c>
      <c r="G164">
        <v>26</v>
      </c>
      <c r="H164">
        <v>0</v>
      </c>
      <c r="I164">
        <v>0</v>
      </c>
      <c r="J164" t="s">
        <v>757</v>
      </c>
      <c r="K164">
        <v>13.5</v>
      </c>
      <c r="M164" t="s">
        <v>15</v>
      </c>
      <c r="N164" t="s">
        <v>960</v>
      </c>
      <c r="O164" t="s">
        <v>960</v>
      </c>
      <c r="P164" t="s">
        <v>960</v>
      </c>
    </row>
    <row r="165" spans="1:16" x14ac:dyDescent="0.35">
      <c r="A165">
        <v>1055</v>
      </c>
      <c r="B165">
        <v>0</v>
      </c>
      <c r="C165">
        <v>3</v>
      </c>
      <c r="D165" t="s">
        <v>249</v>
      </c>
      <c r="E165" t="s">
        <v>11</v>
      </c>
      <c r="F165" t="s">
        <v>948</v>
      </c>
      <c r="G165">
        <v>30.2</v>
      </c>
      <c r="H165">
        <v>0</v>
      </c>
      <c r="I165">
        <v>0</v>
      </c>
      <c r="J165" t="s">
        <v>758</v>
      </c>
      <c r="K165">
        <v>7</v>
      </c>
      <c r="M165" t="s">
        <v>15</v>
      </c>
      <c r="N165" t="s">
        <v>960</v>
      </c>
      <c r="O165" t="s">
        <v>960</v>
      </c>
      <c r="P165" t="s">
        <v>960</v>
      </c>
    </row>
    <row r="166" spans="1:16" x14ac:dyDescent="0.35">
      <c r="A166">
        <v>1056</v>
      </c>
      <c r="B166">
        <v>0</v>
      </c>
      <c r="C166">
        <v>2</v>
      </c>
      <c r="D166" t="s">
        <v>250</v>
      </c>
      <c r="E166" t="s">
        <v>11</v>
      </c>
      <c r="F166" t="s">
        <v>948</v>
      </c>
      <c r="G166">
        <v>41</v>
      </c>
      <c r="H166">
        <v>0</v>
      </c>
      <c r="I166">
        <v>0</v>
      </c>
      <c r="J166" t="s">
        <v>759</v>
      </c>
      <c r="K166">
        <v>13</v>
      </c>
      <c r="M166" t="s">
        <v>15</v>
      </c>
      <c r="N166" t="s">
        <v>960</v>
      </c>
      <c r="O166" t="s">
        <v>960</v>
      </c>
      <c r="P166" t="s">
        <v>960</v>
      </c>
    </row>
    <row r="167" spans="1:16" x14ac:dyDescent="0.35">
      <c r="A167">
        <v>1057</v>
      </c>
      <c r="B167">
        <v>1</v>
      </c>
      <c r="C167">
        <v>3</v>
      </c>
      <c r="D167" t="s">
        <v>251</v>
      </c>
      <c r="E167" t="s">
        <v>14</v>
      </c>
      <c r="F167" t="s">
        <v>951</v>
      </c>
      <c r="G167">
        <v>26</v>
      </c>
      <c r="H167">
        <v>1</v>
      </c>
      <c r="I167">
        <v>1</v>
      </c>
      <c r="J167" t="s">
        <v>760</v>
      </c>
      <c r="K167">
        <v>22.024999999999999</v>
      </c>
      <c r="M167" t="s">
        <v>15</v>
      </c>
      <c r="N167" t="s">
        <v>960</v>
      </c>
      <c r="O167" t="s">
        <v>952</v>
      </c>
      <c r="P167" t="s">
        <v>952</v>
      </c>
    </row>
    <row r="168" spans="1:16" x14ac:dyDescent="0.35">
      <c r="A168">
        <v>1214</v>
      </c>
      <c r="B168">
        <v>0</v>
      </c>
      <c r="C168">
        <v>2</v>
      </c>
      <c r="D168" t="s">
        <v>476</v>
      </c>
      <c r="E168" t="s">
        <v>11</v>
      </c>
      <c r="F168" t="s">
        <v>951</v>
      </c>
      <c r="G168">
        <v>26</v>
      </c>
      <c r="H168">
        <v>0</v>
      </c>
      <c r="I168">
        <v>0</v>
      </c>
      <c r="J168" t="s">
        <v>874</v>
      </c>
      <c r="K168">
        <v>13</v>
      </c>
      <c r="L168" t="s">
        <v>477</v>
      </c>
      <c r="M168" t="s">
        <v>15</v>
      </c>
      <c r="N168" t="s">
        <v>960</v>
      </c>
      <c r="O168" t="s">
        <v>960</v>
      </c>
      <c r="P168" t="s">
        <v>960</v>
      </c>
    </row>
    <row r="169" spans="1:16" x14ac:dyDescent="0.35">
      <c r="A169">
        <v>1059</v>
      </c>
      <c r="B169">
        <v>0</v>
      </c>
      <c r="C169">
        <v>3</v>
      </c>
      <c r="D169" t="s">
        <v>255</v>
      </c>
      <c r="E169" t="s">
        <v>11</v>
      </c>
      <c r="F169" t="s">
        <v>951</v>
      </c>
      <c r="G169">
        <v>18</v>
      </c>
      <c r="H169">
        <v>2</v>
      </c>
      <c r="I169">
        <v>2</v>
      </c>
      <c r="J169" t="s">
        <v>256</v>
      </c>
      <c r="K169">
        <v>34.375</v>
      </c>
      <c r="M169" t="s">
        <v>15</v>
      </c>
      <c r="N169" t="s">
        <v>960</v>
      </c>
      <c r="O169" t="s">
        <v>952</v>
      </c>
      <c r="P169" t="s">
        <v>952</v>
      </c>
    </row>
    <row r="170" spans="1:16" x14ac:dyDescent="0.35">
      <c r="A170">
        <v>1212</v>
      </c>
      <c r="B170">
        <v>0</v>
      </c>
      <c r="C170">
        <v>3</v>
      </c>
      <c r="D170" t="s">
        <v>473</v>
      </c>
      <c r="E170" t="s">
        <v>11</v>
      </c>
      <c r="F170" t="s">
        <v>951</v>
      </c>
      <c r="G170">
        <v>26</v>
      </c>
      <c r="H170">
        <v>0</v>
      </c>
      <c r="I170">
        <v>0</v>
      </c>
      <c r="J170" t="s">
        <v>872</v>
      </c>
      <c r="K170">
        <v>7.7750000000000004</v>
      </c>
      <c r="M170" t="s">
        <v>15</v>
      </c>
      <c r="N170" t="s">
        <v>960</v>
      </c>
      <c r="O170" t="s">
        <v>960</v>
      </c>
      <c r="P170" t="s">
        <v>960</v>
      </c>
    </row>
    <row r="171" spans="1:16" x14ac:dyDescent="0.35">
      <c r="A171">
        <v>1061</v>
      </c>
      <c r="B171">
        <v>1</v>
      </c>
      <c r="C171">
        <v>3</v>
      </c>
      <c r="D171" t="s">
        <v>258</v>
      </c>
      <c r="E171" t="s">
        <v>14</v>
      </c>
      <c r="F171" t="s">
        <v>951</v>
      </c>
      <c r="G171">
        <v>22</v>
      </c>
      <c r="H171">
        <v>0</v>
      </c>
      <c r="I171">
        <v>0</v>
      </c>
      <c r="J171" t="s">
        <v>763</v>
      </c>
      <c r="K171">
        <v>8.9625000000000004</v>
      </c>
      <c r="M171" t="s">
        <v>15</v>
      </c>
      <c r="N171" t="s">
        <v>960</v>
      </c>
      <c r="O171" t="s">
        <v>960</v>
      </c>
      <c r="P171" t="s">
        <v>960</v>
      </c>
    </row>
    <row r="172" spans="1:16" x14ac:dyDescent="0.35">
      <c r="A172">
        <v>1062</v>
      </c>
      <c r="B172">
        <v>0</v>
      </c>
      <c r="C172">
        <v>3</v>
      </c>
      <c r="D172" t="s">
        <v>259</v>
      </c>
      <c r="E172" t="s">
        <v>11</v>
      </c>
      <c r="F172" t="s">
        <v>948</v>
      </c>
      <c r="G172">
        <v>30.2</v>
      </c>
      <c r="H172">
        <v>0</v>
      </c>
      <c r="I172">
        <v>0</v>
      </c>
      <c r="J172" t="s">
        <v>260</v>
      </c>
      <c r="K172">
        <v>7.55</v>
      </c>
      <c r="M172" t="s">
        <v>15</v>
      </c>
      <c r="N172" t="s">
        <v>960</v>
      </c>
      <c r="O172" t="s">
        <v>960</v>
      </c>
      <c r="P172" t="s">
        <v>960</v>
      </c>
    </row>
    <row r="173" spans="1:16" x14ac:dyDescent="0.35">
      <c r="A173">
        <v>1211</v>
      </c>
      <c r="B173">
        <v>0</v>
      </c>
      <c r="C173">
        <v>2</v>
      </c>
      <c r="D173" t="s">
        <v>472</v>
      </c>
      <c r="E173" t="s">
        <v>11</v>
      </c>
      <c r="F173" t="s">
        <v>951</v>
      </c>
      <c r="G173">
        <v>22</v>
      </c>
      <c r="H173">
        <v>2</v>
      </c>
      <c r="I173">
        <v>0</v>
      </c>
      <c r="J173" t="s">
        <v>63</v>
      </c>
      <c r="K173">
        <v>31.5</v>
      </c>
      <c r="M173" t="s">
        <v>15</v>
      </c>
      <c r="N173" t="s">
        <v>960</v>
      </c>
      <c r="O173" t="s">
        <v>952</v>
      </c>
      <c r="P173" t="s">
        <v>960</v>
      </c>
    </row>
    <row r="174" spans="1:16" x14ac:dyDescent="0.35">
      <c r="A174">
        <v>1064</v>
      </c>
      <c r="B174">
        <v>0</v>
      </c>
      <c r="C174">
        <v>3</v>
      </c>
      <c r="D174" t="s">
        <v>262</v>
      </c>
      <c r="E174" t="s">
        <v>11</v>
      </c>
      <c r="F174" t="s">
        <v>951</v>
      </c>
      <c r="G174">
        <v>23</v>
      </c>
      <c r="H174">
        <v>1</v>
      </c>
      <c r="I174">
        <v>0</v>
      </c>
      <c r="J174" t="s">
        <v>695</v>
      </c>
      <c r="K174">
        <v>13.9</v>
      </c>
      <c r="M174" t="s">
        <v>15</v>
      </c>
      <c r="N174" t="s">
        <v>960</v>
      </c>
      <c r="O174" t="s">
        <v>952</v>
      </c>
      <c r="P174" t="s">
        <v>960</v>
      </c>
    </row>
    <row r="175" spans="1:16" x14ac:dyDescent="0.35">
      <c r="A175">
        <v>1210</v>
      </c>
      <c r="B175">
        <v>0</v>
      </c>
      <c r="C175">
        <v>3</v>
      </c>
      <c r="D175" t="s">
        <v>471</v>
      </c>
      <c r="E175" t="s">
        <v>11</v>
      </c>
      <c r="F175" t="s">
        <v>951</v>
      </c>
      <c r="G175">
        <v>27</v>
      </c>
      <c r="H175">
        <v>0</v>
      </c>
      <c r="I175">
        <v>0</v>
      </c>
      <c r="J175" t="s">
        <v>871</v>
      </c>
      <c r="K175">
        <v>7.8541999999999996</v>
      </c>
      <c r="M175" t="s">
        <v>15</v>
      </c>
      <c r="N175" t="s">
        <v>960</v>
      </c>
      <c r="O175" t="s">
        <v>960</v>
      </c>
      <c r="P175" t="s">
        <v>960</v>
      </c>
    </row>
    <row r="176" spans="1:16" x14ac:dyDescent="0.35">
      <c r="A176">
        <v>1066</v>
      </c>
      <c r="B176">
        <v>0</v>
      </c>
      <c r="C176">
        <v>3</v>
      </c>
      <c r="D176" t="s">
        <v>264</v>
      </c>
      <c r="E176" t="s">
        <v>11</v>
      </c>
      <c r="F176" t="s">
        <v>948</v>
      </c>
      <c r="G176">
        <v>40</v>
      </c>
      <c r="H176">
        <v>1</v>
      </c>
      <c r="I176">
        <v>5</v>
      </c>
      <c r="J176" t="s">
        <v>751</v>
      </c>
      <c r="K176">
        <v>31.387499999999999</v>
      </c>
      <c r="M176" t="s">
        <v>15</v>
      </c>
      <c r="N176" t="s">
        <v>960</v>
      </c>
      <c r="O176" t="s">
        <v>952</v>
      </c>
      <c r="P176" t="s">
        <v>952</v>
      </c>
    </row>
    <row r="177" spans="1:16" x14ac:dyDescent="0.35">
      <c r="A177">
        <v>1067</v>
      </c>
      <c r="B177">
        <v>1</v>
      </c>
      <c r="C177">
        <v>2</v>
      </c>
      <c r="D177" t="s">
        <v>265</v>
      </c>
      <c r="E177" t="s">
        <v>14</v>
      </c>
      <c r="F177" t="s">
        <v>950</v>
      </c>
      <c r="G177">
        <v>15</v>
      </c>
      <c r="H177">
        <v>0</v>
      </c>
      <c r="I177">
        <v>2</v>
      </c>
      <c r="J177" t="s">
        <v>766</v>
      </c>
      <c r="K177">
        <v>39</v>
      </c>
      <c r="M177" t="s">
        <v>15</v>
      </c>
      <c r="N177" t="s">
        <v>952</v>
      </c>
      <c r="O177" t="s">
        <v>960</v>
      </c>
      <c r="P177" t="s">
        <v>952</v>
      </c>
    </row>
    <row r="178" spans="1:16" x14ac:dyDescent="0.35">
      <c r="A178">
        <v>1068</v>
      </c>
      <c r="B178">
        <v>1</v>
      </c>
      <c r="C178">
        <v>2</v>
      </c>
      <c r="D178" t="s">
        <v>266</v>
      </c>
      <c r="E178" t="s">
        <v>14</v>
      </c>
      <c r="F178" t="s">
        <v>951</v>
      </c>
      <c r="G178">
        <v>20</v>
      </c>
      <c r="H178">
        <v>0</v>
      </c>
      <c r="I178">
        <v>0</v>
      </c>
      <c r="J178" t="s">
        <v>267</v>
      </c>
      <c r="K178">
        <v>36.75</v>
      </c>
      <c r="M178" t="s">
        <v>15</v>
      </c>
      <c r="N178" t="s">
        <v>960</v>
      </c>
      <c r="O178" t="s">
        <v>960</v>
      </c>
      <c r="P178" t="s">
        <v>960</v>
      </c>
    </row>
    <row r="179" spans="1:16" x14ac:dyDescent="0.35">
      <c r="A179">
        <v>1209</v>
      </c>
      <c r="B179">
        <v>0</v>
      </c>
      <c r="C179">
        <v>2</v>
      </c>
      <c r="D179" t="s">
        <v>470</v>
      </c>
      <c r="E179" t="s">
        <v>11</v>
      </c>
      <c r="F179" t="s">
        <v>951</v>
      </c>
      <c r="G179">
        <v>19</v>
      </c>
      <c r="H179">
        <v>0</v>
      </c>
      <c r="I179">
        <v>0</v>
      </c>
      <c r="J179" t="s">
        <v>870</v>
      </c>
      <c r="K179">
        <v>10.5</v>
      </c>
      <c r="M179" t="s">
        <v>15</v>
      </c>
      <c r="N179" t="s">
        <v>960</v>
      </c>
      <c r="O179" t="s">
        <v>960</v>
      </c>
      <c r="P179" t="s">
        <v>960</v>
      </c>
    </row>
    <row r="180" spans="1:16" x14ac:dyDescent="0.35">
      <c r="A180">
        <v>1070</v>
      </c>
      <c r="B180">
        <v>1</v>
      </c>
      <c r="C180">
        <v>2</v>
      </c>
      <c r="D180" t="s">
        <v>269</v>
      </c>
      <c r="E180" t="s">
        <v>14</v>
      </c>
      <c r="F180" t="s">
        <v>948</v>
      </c>
      <c r="G180">
        <v>36</v>
      </c>
      <c r="H180">
        <v>0</v>
      </c>
      <c r="I180">
        <v>3</v>
      </c>
      <c r="J180" t="s">
        <v>767</v>
      </c>
      <c r="K180">
        <v>39</v>
      </c>
      <c r="L180" t="s">
        <v>270</v>
      </c>
      <c r="M180" t="s">
        <v>15</v>
      </c>
      <c r="N180" t="s">
        <v>960</v>
      </c>
      <c r="O180" t="s">
        <v>960</v>
      </c>
      <c r="P180" t="s">
        <v>952</v>
      </c>
    </row>
    <row r="181" spans="1:16" x14ac:dyDescent="0.35">
      <c r="A181">
        <v>1204</v>
      </c>
      <c r="B181">
        <v>0</v>
      </c>
      <c r="C181">
        <v>3</v>
      </c>
      <c r="D181" t="s">
        <v>459</v>
      </c>
      <c r="E181" t="s">
        <v>11</v>
      </c>
      <c r="F181" t="s">
        <v>948</v>
      </c>
      <c r="G181">
        <v>30.2</v>
      </c>
      <c r="H181">
        <v>0</v>
      </c>
      <c r="I181">
        <v>0</v>
      </c>
      <c r="J181" t="s">
        <v>865</v>
      </c>
      <c r="K181">
        <v>7.5750000000000002</v>
      </c>
      <c r="M181" t="s">
        <v>15</v>
      </c>
      <c r="N181" t="s">
        <v>960</v>
      </c>
      <c r="O181" t="s">
        <v>960</v>
      </c>
      <c r="P181" t="s">
        <v>960</v>
      </c>
    </row>
    <row r="182" spans="1:16" x14ac:dyDescent="0.35">
      <c r="A182">
        <v>1072</v>
      </c>
      <c r="B182">
        <v>0</v>
      </c>
      <c r="C182">
        <v>2</v>
      </c>
      <c r="D182" t="s">
        <v>274</v>
      </c>
      <c r="E182" t="s">
        <v>11</v>
      </c>
      <c r="F182" t="s">
        <v>948</v>
      </c>
      <c r="G182">
        <v>30</v>
      </c>
      <c r="H182">
        <v>0</v>
      </c>
      <c r="I182">
        <v>0</v>
      </c>
      <c r="J182" t="s">
        <v>769</v>
      </c>
      <c r="K182">
        <v>13</v>
      </c>
      <c r="M182" t="s">
        <v>15</v>
      </c>
      <c r="N182" t="s">
        <v>960</v>
      </c>
      <c r="O182" t="s">
        <v>960</v>
      </c>
      <c r="P182" t="s">
        <v>960</v>
      </c>
    </row>
    <row r="183" spans="1:16" x14ac:dyDescent="0.35">
      <c r="A183">
        <v>1202</v>
      </c>
      <c r="B183">
        <v>0</v>
      </c>
      <c r="C183">
        <v>3</v>
      </c>
      <c r="D183" t="s">
        <v>457</v>
      </c>
      <c r="E183" t="s">
        <v>11</v>
      </c>
      <c r="F183" t="s">
        <v>951</v>
      </c>
      <c r="G183">
        <v>18</v>
      </c>
      <c r="H183">
        <v>0</v>
      </c>
      <c r="I183">
        <v>0</v>
      </c>
      <c r="J183" t="s">
        <v>863</v>
      </c>
      <c r="K183">
        <v>8.6624999999999996</v>
      </c>
      <c r="M183" t="s">
        <v>15</v>
      </c>
      <c r="N183" t="s">
        <v>960</v>
      </c>
      <c r="O183" t="s">
        <v>960</v>
      </c>
      <c r="P183" t="s">
        <v>960</v>
      </c>
    </row>
    <row r="184" spans="1:16" x14ac:dyDescent="0.35">
      <c r="A184">
        <v>1074</v>
      </c>
      <c r="B184">
        <v>1</v>
      </c>
      <c r="C184">
        <v>1</v>
      </c>
      <c r="D184" t="s">
        <v>277</v>
      </c>
      <c r="E184" t="s">
        <v>14</v>
      </c>
      <c r="F184" t="s">
        <v>951</v>
      </c>
      <c r="G184">
        <v>18</v>
      </c>
      <c r="H184">
        <v>1</v>
      </c>
      <c r="I184">
        <v>0</v>
      </c>
      <c r="J184" t="s">
        <v>770</v>
      </c>
      <c r="K184">
        <v>53.1</v>
      </c>
      <c r="L184" t="s">
        <v>278</v>
      </c>
      <c r="M184" t="s">
        <v>15</v>
      </c>
      <c r="N184" t="s">
        <v>960</v>
      </c>
      <c r="O184" t="s">
        <v>952</v>
      </c>
      <c r="P184" t="s">
        <v>960</v>
      </c>
    </row>
    <row r="185" spans="1:16" x14ac:dyDescent="0.35">
      <c r="A185">
        <v>1201</v>
      </c>
      <c r="B185">
        <v>1</v>
      </c>
      <c r="C185">
        <v>3</v>
      </c>
      <c r="D185" t="s">
        <v>456</v>
      </c>
      <c r="E185" t="s">
        <v>14</v>
      </c>
      <c r="F185" t="s">
        <v>948</v>
      </c>
      <c r="G185">
        <v>45</v>
      </c>
      <c r="H185">
        <v>1</v>
      </c>
      <c r="I185">
        <v>0</v>
      </c>
      <c r="J185" t="s">
        <v>862</v>
      </c>
      <c r="K185">
        <v>14.1083</v>
      </c>
      <c r="M185" t="s">
        <v>15</v>
      </c>
      <c r="N185" t="s">
        <v>960</v>
      </c>
      <c r="O185" t="s">
        <v>952</v>
      </c>
      <c r="P185" t="s">
        <v>960</v>
      </c>
    </row>
    <row r="186" spans="1:16" x14ac:dyDescent="0.35">
      <c r="A186">
        <v>1200</v>
      </c>
      <c r="B186">
        <v>0</v>
      </c>
      <c r="C186">
        <v>1</v>
      </c>
      <c r="D186" t="s">
        <v>454</v>
      </c>
      <c r="E186" t="s">
        <v>11</v>
      </c>
      <c r="F186" t="s">
        <v>948</v>
      </c>
      <c r="G186">
        <v>55</v>
      </c>
      <c r="H186">
        <v>1</v>
      </c>
      <c r="I186">
        <v>1</v>
      </c>
      <c r="J186" t="s">
        <v>861</v>
      </c>
      <c r="K186">
        <v>93.5</v>
      </c>
      <c r="L186" t="s">
        <v>455</v>
      </c>
      <c r="M186" t="s">
        <v>15</v>
      </c>
      <c r="N186" t="s">
        <v>960</v>
      </c>
      <c r="O186" t="s">
        <v>952</v>
      </c>
      <c r="P186" t="s">
        <v>952</v>
      </c>
    </row>
    <row r="187" spans="1:16" x14ac:dyDescent="0.35">
      <c r="A187">
        <v>1077</v>
      </c>
      <c r="B187">
        <v>0</v>
      </c>
      <c r="C187">
        <v>2</v>
      </c>
      <c r="D187" t="s">
        <v>283</v>
      </c>
      <c r="E187" t="s">
        <v>11</v>
      </c>
      <c r="F187" t="s">
        <v>948</v>
      </c>
      <c r="G187">
        <v>40</v>
      </c>
      <c r="H187">
        <v>0</v>
      </c>
      <c r="I187">
        <v>0</v>
      </c>
      <c r="J187" t="s">
        <v>773</v>
      </c>
      <c r="K187">
        <v>16</v>
      </c>
      <c r="M187" t="s">
        <v>15</v>
      </c>
      <c r="N187" t="s">
        <v>960</v>
      </c>
      <c r="O187" t="s">
        <v>960</v>
      </c>
      <c r="P187" t="s">
        <v>960</v>
      </c>
    </row>
    <row r="188" spans="1:16" x14ac:dyDescent="0.35">
      <c r="A188">
        <v>1078</v>
      </c>
      <c r="B188">
        <v>1</v>
      </c>
      <c r="C188">
        <v>2</v>
      </c>
      <c r="D188" t="s">
        <v>284</v>
      </c>
      <c r="E188" t="s">
        <v>14</v>
      </c>
      <c r="F188" t="s">
        <v>951</v>
      </c>
      <c r="G188">
        <v>21</v>
      </c>
      <c r="H188">
        <v>0</v>
      </c>
      <c r="I188">
        <v>1</v>
      </c>
      <c r="J188" t="s">
        <v>285</v>
      </c>
      <c r="K188">
        <v>21</v>
      </c>
      <c r="M188" t="s">
        <v>15</v>
      </c>
      <c r="N188" t="s">
        <v>960</v>
      </c>
      <c r="O188" t="s">
        <v>960</v>
      </c>
      <c r="P188" t="s">
        <v>952</v>
      </c>
    </row>
    <row r="189" spans="1:16" x14ac:dyDescent="0.35">
      <c r="A189">
        <v>1079</v>
      </c>
      <c r="B189">
        <v>0</v>
      </c>
      <c r="C189">
        <v>3</v>
      </c>
      <c r="D189" t="s">
        <v>286</v>
      </c>
      <c r="E189" t="s">
        <v>11</v>
      </c>
      <c r="F189" t="s">
        <v>950</v>
      </c>
      <c r="G189">
        <v>17</v>
      </c>
      <c r="H189">
        <v>2</v>
      </c>
      <c r="I189">
        <v>0</v>
      </c>
      <c r="J189" t="s">
        <v>287</v>
      </c>
      <c r="K189">
        <v>8.0500000000000007</v>
      </c>
      <c r="M189" t="s">
        <v>15</v>
      </c>
      <c r="N189" t="s">
        <v>952</v>
      </c>
      <c r="O189" t="s">
        <v>952</v>
      </c>
      <c r="P189" t="s">
        <v>960</v>
      </c>
    </row>
    <row r="190" spans="1:16" x14ac:dyDescent="0.35">
      <c r="A190">
        <v>1080</v>
      </c>
      <c r="B190">
        <v>1</v>
      </c>
      <c r="C190">
        <v>3</v>
      </c>
      <c r="D190" t="s">
        <v>288</v>
      </c>
      <c r="E190" t="s">
        <v>14</v>
      </c>
      <c r="F190" t="s">
        <v>948</v>
      </c>
      <c r="G190">
        <v>30.2</v>
      </c>
      <c r="H190">
        <v>8</v>
      </c>
      <c r="I190">
        <v>2</v>
      </c>
      <c r="J190" t="s">
        <v>774</v>
      </c>
      <c r="K190">
        <v>69.55</v>
      </c>
      <c r="M190" t="s">
        <v>15</v>
      </c>
      <c r="N190" t="s">
        <v>960</v>
      </c>
      <c r="O190" t="s">
        <v>952</v>
      </c>
      <c r="P190" t="s">
        <v>952</v>
      </c>
    </row>
    <row r="191" spans="1:16" x14ac:dyDescent="0.35">
      <c r="A191">
        <v>1081</v>
      </c>
      <c r="B191">
        <v>0</v>
      </c>
      <c r="C191">
        <v>2</v>
      </c>
      <c r="D191" t="s">
        <v>290</v>
      </c>
      <c r="E191" t="s">
        <v>11</v>
      </c>
      <c r="F191" t="s">
        <v>948</v>
      </c>
      <c r="G191">
        <v>40</v>
      </c>
      <c r="H191">
        <v>0</v>
      </c>
      <c r="I191">
        <v>0</v>
      </c>
      <c r="J191" t="s">
        <v>775</v>
      </c>
      <c r="K191">
        <v>13</v>
      </c>
      <c r="M191" t="s">
        <v>15</v>
      </c>
      <c r="N191" t="s">
        <v>960</v>
      </c>
      <c r="O191" t="s">
        <v>960</v>
      </c>
      <c r="P191" t="s">
        <v>960</v>
      </c>
    </row>
    <row r="192" spans="1:16" x14ac:dyDescent="0.35">
      <c r="A192">
        <v>1082</v>
      </c>
      <c r="B192">
        <v>0</v>
      </c>
      <c r="C192">
        <v>2</v>
      </c>
      <c r="D192" t="s">
        <v>291</v>
      </c>
      <c r="E192" t="s">
        <v>11</v>
      </c>
      <c r="F192" t="s">
        <v>948</v>
      </c>
      <c r="G192">
        <v>34</v>
      </c>
      <c r="H192">
        <v>1</v>
      </c>
      <c r="I192">
        <v>0</v>
      </c>
      <c r="J192" t="s">
        <v>776</v>
      </c>
      <c r="K192">
        <v>26</v>
      </c>
      <c r="M192" t="s">
        <v>15</v>
      </c>
      <c r="N192" t="s">
        <v>960</v>
      </c>
      <c r="O192" t="s">
        <v>952</v>
      </c>
      <c r="P192" t="s">
        <v>960</v>
      </c>
    </row>
    <row r="193" spans="1:16" x14ac:dyDescent="0.35">
      <c r="A193">
        <v>1083</v>
      </c>
      <c r="B193">
        <v>0</v>
      </c>
      <c r="C193">
        <v>1</v>
      </c>
      <c r="D193" t="s">
        <v>292</v>
      </c>
      <c r="E193" t="s">
        <v>11</v>
      </c>
      <c r="F193" t="s">
        <v>948</v>
      </c>
      <c r="G193">
        <v>30.2</v>
      </c>
      <c r="H193">
        <v>0</v>
      </c>
      <c r="I193">
        <v>0</v>
      </c>
      <c r="J193" t="s">
        <v>777</v>
      </c>
      <c r="K193">
        <v>26</v>
      </c>
      <c r="M193" t="s">
        <v>15</v>
      </c>
      <c r="N193" t="s">
        <v>960</v>
      </c>
      <c r="O193" t="s">
        <v>960</v>
      </c>
      <c r="P193" t="s">
        <v>960</v>
      </c>
    </row>
    <row r="194" spans="1:16" x14ac:dyDescent="0.35">
      <c r="A194">
        <v>1084</v>
      </c>
      <c r="B194">
        <v>0</v>
      </c>
      <c r="C194">
        <v>3</v>
      </c>
      <c r="D194" t="s">
        <v>293</v>
      </c>
      <c r="E194" t="s">
        <v>11</v>
      </c>
      <c r="F194" t="s">
        <v>950</v>
      </c>
      <c r="G194">
        <v>11.5</v>
      </c>
      <c r="H194">
        <v>1</v>
      </c>
      <c r="I194">
        <v>1</v>
      </c>
      <c r="J194" t="s">
        <v>294</v>
      </c>
      <c r="K194">
        <v>14.5</v>
      </c>
      <c r="M194" t="s">
        <v>15</v>
      </c>
      <c r="N194" t="s">
        <v>952</v>
      </c>
      <c r="O194" t="s">
        <v>952</v>
      </c>
      <c r="P194" t="s">
        <v>952</v>
      </c>
    </row>
    <row r="195" spans="1:16" x14ac:dyDescent="0.35">
      <c r="A195">
        <v>1199</v>
      </c>
      <c r="B195">
        <v>0</v>
      </c>
      <c r="C195">
        <v>3</v>
      </c>
      <c r="D195" t="s">
        <v>453</v>
      </c>
      <c r="E195" t="s">
        <v>11</v>
      </c>
      <c r="F195" t="s">
        <v>950</v>
      </c>
      <c r="G195">
        <v>0.83</v>
      </c>
      <c r="H195">
        <v>0</v>
      </c>
      <c r="I195">
        <v>1</v>
      </c>
      <c r="J195" t="s">
        <v>860</v>
      </c>
      <c r="K195">
        <v>9.35</v>
      </c>
      <c r="M195" t="s">
        <v>15</v>
      </c>
      <c r="N195" t="s">
        <v>952</v>
      </c>
      <c r="O195" t="s">
        <v>960</v>
      </c>
      <c r="P195" t="s">
        <v>952</v>
      </c>
    </row>
    <row r="196" spans="1:16" x14ac:dyDescent="0.35">
      <c r="A196">
        <v>1086</v>
      </c>
      <c r="B196">
        <v>0</v>
      </c>
      <c r="C196">
        <v>2</v>
      </c>
      <c r="D196" t="s">
        <v>296</v>
      </c>
      <c r="E196" t="s">
        <v>11</v>
      </c>
      <c r="F196" t="s">
        <v>950</v>
      </c>
      <c r="G196">
        <v>8</v>
      </c>
      <c r="H196">
        <v>0</v>
      </c>
      <c r="I196">
        <v>2</v>
      </c>
      <c r="J196" t="s">
        <v>779</v>
      </c>
      <c r="K196">
        <v>32.5</v>
      </c>
      <c r="M196" t="s">
        <v>15</v>
      </c>
      <c r="N196" t="s">
        <v>952</v>
      </c>
      <c r="O196" t="s">
        <v>960</v>
      </c>
      <c r="P196" t="s">
        <v>952</v>
      </c>
    </row>
    <row r="197" spans="1:16" x14ac:dyDescent="0.35">
      <c r="A197">
        <v>1087</v>
      </c>
      <c r="B197">
        <v>0</v>
      </c>
      <c r="C197">
        <v>3</v>
      </c>
      <c r="D197" t="s">
        <v>297</v>
      </c>
      <c r="E197" t="s">
        <v>11</v>
      </c>
      <c r="F197" t="s">
        <v>948</v>
      </c>
      <c r="G197">
        <v>33</v>
      </c>
      <c r="H197">
        <v>0</v>
      </c>
      <c r="I197">
        <v>0</v>
      </c>
      <c r="J197" t="s">
        <v>780</v>
      </c>
      <c r="K197">
        <v>7.8541999999999996</v>
      </c>
      <c r="M197" t="s">
        <v>15</v>
      </c>
      <c r="N197" t="s">
        <v>960</v>
      </c>
      <c r="O197" t="s">
        <v>960</v>
      </c>
      <c r="P197" t="s">
        <v>960</v>
      </c>
    </row>
    <row r="198" spans="1:16" x14ac:dyDescent="0.35">
      <c r="A198">
        <v>1198</v>
      </c>
      <c r="B198">
        <v>0</v>
      </c>
      <c r="C198">
        <v>1</v>
      </c>
      <c r="D198" t="s">
        <v>451</v>
      </c>
      <c r="E198" t="s">
        <v>11</v>
      </c>
      <c r="F198" t="s">
        <v>948</v>
      </c>
      <c r="G198">
        <v>30</v>
      </c>
      <c r="H198">
        <v>1</v>
      </c>
      <c r="I198">
        <v>2</v>
      </c>
      <c r="J198" t="s">
        <v>739</v>
      </c>
      <c r="K198">
        <v>151.55000000000001</v>
      </c>
      <c r="L198" t="s">
        <v>452</v>
      </c>
      <c r="M198" t="s">
        <v>15</v>
      </c>
      <c r="N198" t="s">
        <v>960</v>
      </c>
      <c r="O198" t="s">
        <v>952</v>
      </c>
      <c r="P198" t="s">
        <v>952</v>
      </c>
    </row>
    <row r="199" spans="1:16" x14ac:dyDescent="0.35">
      <c r="A199">
        <v>1089</v>
      </c>
      <c r="B199">
        <v>1</v>
      </c>
      <c r="C199">
        <v>3</v>
      </c>
      <c r="D199" t="s">
        <v>300</v>
      </c>
      <c r="E199" t="s">
        <v>14</v>
      </c>
      <c r="F199" t="s">
        <v>951</v>
      </c>
      <c r="G199">
        <v>18</v>
      </c>
      <c r="H199">
        <v>0</v>
      </c>
      <c r="I199">
        <v>0</v>
      </c>
      <c r="J199" t="s">
        <v>782</v>
      </c>
      <c r="K199">
        <v>7.7750000000000004</v>
      </c>
      <c r="M199" t="s">
        <v>15</v>
      </c>
      <c r="N199" t="s">
        <v>960</v>
      </c>
      <c r="O199" t="s">
        <v>960</v>
      </c>
      <c r="P199" t="s">
        <v>960</v>
      </c>
    </row>
    <row r="200" spans="1:16" x14ac:dyDescent="0.35">
      <c r="A200">
        <v>1090</v>
      </c>
      <c r="B200">
        <v>0</v>
      </c>
      <c r="C200">
        <v>2</v>
      </c>
      <c r="D200" t="s">
        <v>301</v>
      </c>
      <c r="E200" t="s">
        <v>11</v>
      </c>
      <c r="F200" t="s">
        <v>951</v>
      </c>
      <c r="G200">
        <v>23</v>
      </c>
      <c r="H200">
        <v>0</v>
      </c>
      <c r="I200">
        <v>0</v>
      </c>
      <c r="J200" t="s">
        <v>302</v>
      </c>
      <c r="K200">
        <v>10.5</v>
      </c>
      <c r="M200" t="s">
        <v>15</v>
      </c>
      <c r="N200" t="s">
        <v>960</v>
      </c>
      <c r="O200" t="s">
        <v>960</v>
      </c>
      <c r="P200" t="s">
        <v>960</v>
      </c>
    </row>
    <row r="201" spans="1:16" x14ac:dyDescent="0.35">
      <c r="A201">
        <v>1091</v>
      </c>
      <c r="B201">
        <v>1</v>
      </c>
      <c r="C201">
        <v>3</v>
      </c>
      <c r="D201" t="s">
        <v>303</v>
      </c>
      <c r="E201" t="s">
        <v>14</v>
      </c>
      <c r="F201" t="s">
        <v>948</v>
      </c>
      <c r="G201">
        <v>30.2</v>
      </c>
      <c r="H201">
        <v>0</v>
      </c>
      <c r="I201">
        <v>0</v>
      </c>
      <c r="J201" t="s">
        <v>783</v>
      </c>
      <c r="K201">
        <v>8.1125000000000007</v>
      </c>
      <c r="M201" t="s">
        <v>15</v>
      </c>
      <c r="N201" t="s">
        <v>960</v>
      </c>
      <c r="O201" t="s">
        <v>960</v>
      </c>
      <c r="P201" t="s">
        <v>960</v>
      </c>
    </row>
    <row r="202" spans="1:16" x14ac:dyDescent="0.35">
      <c r="A202">
        <v>1197</v>
      </c>
      <c r="B202">
        <v>1</v>
      </c>
      <c r="C202">
        <v>1</v>
      </c>
      <c r="D202" t="s">
        <v>449</v>
      </c>
      <c r="E202" t="s">
        <v>14</v>
      </c>
      <c r="F202" t="s">
        <v>949</v>
      </c>
      <c r="G202">
        <v>64</v>
      </c>
      <c r="H202">
        <v>1</v>
      </c>
      <c r="I202">
        <v>1</v>
      </c>
      <c r="J202" t="s">
        <v>859</v>
      </c>
      <c r="K202">
        <v>26.55</v>
      </c>
      <c r="L202" t="s">
        <v>450</v>
      </c>
      <c r="M202" t="s">
        <v>15</v>
      </c>
      <c r="N202" t="s">
        <v>960</v>
      </c>
      <c r="O202" t="s">
        <v>952</v>
      </c>
      <c r="P202" t="s">
        <v>952</v>
      </c>
    </row>
    <row r="203" spans="1:16" x14ac:dyDescent="0.35">
      <c r="A203">
        <v>1093</v>
      </c>
      <c r="B203">
        <v>0</v>
      </c>
      <c r="C203">
        <v>3</v>
      </c>
      <c r="D203" t="s">
        <v>305</v>
      </c>
      <c r="E203" t="s">
        <v>11</v>
      </c>
      <c r="F203" t="s">
        <v>950</v>
      </c>
      <c r="G203">
        <v>0.33</v>
      </c>
      <c r="H203">
        <v>0</v>
      </c>
      <c r="I203">
        <v>2</v>
      </c>
      <c r="J203" t="s">
        <v>785</v>
      </c>
      <c r="K203">
        <v>14.4</v>
      </c>
      <c r="M203" t="s">
        <v>15</v>
      </c>
      <c r="N203" t="s">
        <v>952</v>
      </c>
      <c r="O203" t="s">
        <v>960</v>
      </c>
      <c r="P203" t="s">
        <v>952</v>
      </c>
    </row>
    <row r="204" spans="1:16" x14ac:dyDescent="0.35">
      <c r="A204">
        <v>1195</v>
      </c>
      <c r="B204">
        <v>0</v>
      </c>
      <c r="C204">
        <v>3</v>
      </c>
      <c r="D204" t="s">
        <v>447</v>
      </c>
      <c r="E204" t="s">
        <v>11</v>
      </c>
      <c r="F204" t="s">
        <v>951</v>
      </c>
      <c r="G204">
        <v>24</v>
      </c>
      <c r="H204">
        <v>0</v>
      </c>
      <c r="I204">
        <v>0</v>
      </c>
      <c r="J204" t="s">
        <v>857</v>
      </c>
      <c r="K204">
        <v>8.6624999999999996</v>
      </c>
      <c r="M204" t="s">
        <v>15</v>
      </c>
      <c r="N204" t="s">
        <v>960</v>
      </c>
      <c r="O204" t="s">
        <v>960</v>
      </c>
      <c r="P204" t="s">
        <v>960</v>
      </c>
    </row>
    <row r="205" spans="1:16" x14ac:dyDescent="0.35">
      <c r="A205">
        <v>1095</v>
      </c>
      <c r="B205">
        <v>1</v>
      </c>
      <c r="C205">
        <v>2</v>
      </c>
      <c r="D205" t="s">
        <v>309</v>
      </c>
      <c r="E205" t="s">
        <v>14</v>
      </c>
      <c r="F205" t="s">
        <v>950</v>
      </c>
      <c r="G205">
        <v>8</v>
      </c>
      <c r="H205">
        <v>1</v>
      </c>
      <c r="I205">
        <v>1</v>
      </c>
      <c r="J205" t="s">
        <v>787</v>
      </c>
      <c r="K205">
        <v>26</v>
      </c>
      <c r="M205" t="s">
        <v>15</v>
      </c>
      <c r="N205" t="s">
        <v>952</v>
      </c>
      <c r="O205" t="s">
        <v>952</v>
      </c>
      <c r="P205" t="s">
        <v>952</v>
      </c>
    </row>
    <row r="206" spans="1:16" x14ac:dyDescent="0.35">
      <c r="A206">
        <v>1096</v>
      </c>
      <c r="B206">
        <v>0</v>
      </c>
      <c r="C206">
        <v>2</v>
      </c>
      <c r="D206" t="s">
        <v>310</v>
      </c>
      <c r="E206" t="s">
        <v>11</v>
      </c>
      <c r="F206" t="s">
        <v>951</v>
      </c>
      <c r="G206">
        <v>25</v>
      </c>
      <c r="H206">
        <v>0</v>
      </c>
      <c r="I206">
        <v>0</v>
      </c>
      <c r="J206" t="s">
        <v>311</v>
      </c>
      <c r="K206">
        <v>10.5</v>
      </c>
      <c r="M206" t="s">
        <v>15</v>
      </c>
      <c r="N206" t="s">
        <v>960</v>
      </c>
      <c r="O206" t="s">
        <v>960</v>
      </c>
      <c r="P206" t="s">
        <v>960</v>
      </c>
    </row>
    <row r="207" spans="1:16" x14ac:dyDescent="0.35">
      <c r="A207">
        <v>1194</v>
      </c>
      <c r="B207">
        <v>0</v>
      </c>
      <c r="C207">
        <v>2</v>
      </c>
      <c r="D207" t="s">
        <v>446</v>
      </c>
      <c r="E207" t="s">
        <v>11</v>
      </c>
      <c r="F207" t="s">
        <v>948</v>
      </c>
      <c r="G207">
        <v>43</v>
      </c>
      <c r="H207">
        <v>0</v>
      </c>
      <c r="I207">
        <v>1</v>
      </c>
      <c r="J207" t="s">
        <v>285</v>
      </c>
      <c r="K207">
        <v>21</v>
      </c>
      <c r="M207" t="s">
        <v>15</v>
      </c>
      <c r="N207" t="s">
        <v>960</v>
      </c>
      <c r="O207" t="s">
        <v>960</v>
      </c>
      <c r="P207" t="s">
        <v>952</v>
      </c>
    </row>
    <row r="208" spans="1:16" x14ac:dyDescent="0.35">
      <c r="A208">
        <v>1192</v>
      </c>
      <c r="B208">
        <v>0</v>
      </c>
      <c r="C208">
        <v>3</v>
      </c>
      <c r="D208" t="s">
        <v>443</v>
      </c>
      <c r="E208" t="s">
        <v>11</v>
      </c>
      <c r="F208" t="s">
        <v>948</v>
      </c>
      <c r="G208">
        <v>32</v>
      </c>
      <c r="H208">
        <v>0</v>
      </c>
      <c r="I208">
        <v>0</v>
      </c>
      <c r="J208" t="s">
        <v>855</v>
      </c>
      <c r="K208">
        <v>7.7750000000000004</v>
      </c>
      <c r="M208" t="s">
        <v>15</v>
      </c>
      <c r="N208" t="s">
        <v>960</v>
      </c>
      <c r="O208" t="s">
        <v>960</v>
      </c>
      <c r="P208" t="s">
        <v>960</v>
      </c>
    </row>
    <row r="209" spans="1:16" x14ac:dyDescent="0.35">
      <c r="A209">
        <v>1099</v>
      </c>
      <c r="B209">
        <v>0</v>
      </c>
      <c r="C209">
        <v>2</v>
      </c>
      <c r="D209" t="s">
        <v>315</v>
      </c>
      <c r="E209" t="s">
        <v>11</v>
      </c>
      <c r="F209" t="s">
        <v>951</v>
      </c>
      <c r="G209">
        <v>24</v>
      </c>
      <c r="H209">
        <v>0</v>
      </c>
      <c r="I209">
        <v>0</v>
      </c>
      <c r="J209" t="s">
        <v>789</v>
      </c>
      <c r="K209">
        <v>10.5</v>
      </c>
      <c r="M209" t="s">
        <v>15</v>
      </c>
      <c r="N209" t="s">
        <v>960</v>
      </c>
      <c r="O209" t="s">
        <v>960</v>
      </c>
      <c r="P209" t="s">
        <v>960</v>
      </c>
    </row>
    <row r="210" spans="1:16" x14ac:dyDescent="0.35">
      <c r="A210">
        <v>1191</v>
      </c>
      <c r="B210">
        <v>0</v>
      </c>
      <c r="C210">
        <v>3</v>
      </c>
      <c r="D210" t="s">
        <v>442</v>
      </c>
      <c r="E210" t="s">
        <v>11</v>
      </c>
      <c r="F210" t="s">
        <v>951</v>
      </c>
      <c r="G210">
        <v>29</v>
      </c>
      <c r="H210">
        <v>0</v>
      </c>
      <c r="I210">
        <v>0</v>
      </c>
      <c r="J210" t="s">
        <v>854</v>
      </c>
      <c r="K210">
        <v>7.8541999999999996</v>
      </c>
      <c r="M210" t="s">
        <v>15</v>
      </c>
      <c r="N210" t="s">
        <v>960</v>
      </c>
      <c r="O210" t="s">
        <v>960</v>
      </c>
      <c r="P210" t="s">
        <v>960</v>
      </c>
    </row>
    <row r="211" spans="1:16" x14ac:dyDescent="0.35">
      <c r="A211">
        <v>1101</v>
      </c>
      <c r="B211">
        <v>0</v>
      </c>
      <c r="C211">
        <v>3</v>
      </c>
      <c r="D211" t="s">
        <v>319</v>
      </c>
      <c r="E211" t="s">
        <v>11</v>
      </c>
      <c r="F211" t="s">
        <v>951</v>
      </c>
      <c r="G211">
        <v>25</v>
      </c>
      <c r="H211">
        <v>0</v>
      </c>
      <c r="I211">
        <v>0</v>
      </c>
      <c r="J211" t="s">
        <v>791</v>
      </c>
      <c r="K211">
        <v>7.8958000000000004</v>
      </c>
      <c r="M211" t="s">
        <v>15</v>
      </c>
      <c r="N211" t="s">
        <v>960</v>
      </c>
      <c r="O211" t="s">
        <v>960</v>
      </c>
      <c r="P211" t="s">
        <v>960</v>
      </c>
    </row>
    <row r="212" spans="1:16" x14ac:dyDescent="0.35">
      <c r="A212">
        <v>1102</v>
      </c>
      <c r="B212">
        <v>0</v>
      </c>
      <c r="C212">
        <v>3</v>
      </c>
      <c r="D212" t="s">
        <v>320</v>
      </c>
      <c r="E212" t="s">
        <v>11</v>
      </c>
      <c r="F212" t="s">
        <v>948</v>
      </c>
      <c r="G212">
        <v>32</v>
      </c>
      <c r="H212">
        <v>0</v>
      </c>
      <c r="I212">
        <v>0</v>
      </c>
      <c r="J212" t="s">
        <v>171</v>
      </c>
      <c r="K212">
        <v>22.524999999999999</v>
      </c>
      <c r="M212" t="s">
        <v>15</v>
      </c>
      <c r="N212" t="s">
        <v>960</v>
      </c>
      <c r="O212" t="s">
        <v>960</v>
      </c>
      <c r="P212" t="s">
        <v>960</v>
      </c>
    </row>
    <row r="213" spans="1:16" x14ac:dyDescent="0.35">
      <c r="A213">
        <v>1103</v>
      </c>
      <c r="B213">
        <v>0</v>
      </c>
      <c r="C213">
        <v>3</v>
      </c>
      <c r="D213" t="s">
        <v>321</v>
      </c>
      <c r="E213" t="s">
        <v>11</v>
      </c>
      <c r="F213" t="s">
        <v>948</v>
      </c>
      <c r="G213">
        <v>30.2</v>
      </c>
      <c r="H213">
        <v>0</v>
      </c>
      <c r="I213">
        <v>0</v>
      </c>
      <c r="J213" t="s">
        <v>792</v>
      </c>
      <c r="K213">
        <v>7.05</v>
      </c>
      <c r="M213" t="s">
        <v>15</v>
      </c>
      <c r="N213" t="s">
        <v>960</v>
      </c>
      <c r="O213" t="s">
        <v>960</v>
      </c>
      <c r="P213" t="s">
        <v>960</v>
      </c>
    </row>
    <row r="214" spans="1:16" x14ac:dyDescent="0.35">
      <c r="A214">
        <v>1104</v>
      </c>
      <c r="B214">
        <v>0</v>
      </c>
      <c r="C214">
        <v>2</v>
      </c>
      <c r="D214" t="s">
        <v>323</v>
      </c>
      <c r="E214" t="s">
        <v>11</v>
      </c>
      <c r="F214" t="s">
        <v>950</v>
      </c>
      <c r="G214">
        <v>17</v>
      </c>
      <c r="H214">
        <v>0</v>
      </c>
      <c r="I214">
        <v>0</v>
      </c>
      <c r="J214" t="s">
        <v>324</v>
      </c>
      <c r="K214">
        <v>73.5</v>
      </c>
      <c r="M214" t="s">
        <v>15</v>
      </c>
      <c r="N214" t="s">
        <v>952</v>
      </c>
      <c r="O214" t="s">
        <v>960</v>
      </c>
      <c r="P214" t="s">
        <v>960</v>
      </c>
    </row>
    <row r="215" spans="1:16" x14ac:dyDescent="0.35">
      <c r="A215">
        <v>1105</v>
      </c>
      <c r="B215">
        <v>1</v>
      </c>
      <c r="C215">
        <v>2</v>
      </c>
      <c r="D215" t="s">
        <v>325</v>
      </c>
      <c r="E215" t="s">
        <v>14</v>
      </c>
      <c r="F215" t="s">
        <v>949</v>
      </c>
      <c r="G215">
        <v>60</v>
      </c>
      <c r="H215">
        <v>1</v>
      </c>
      <c r="I215">
        <v>0</v>
      </c>
      <c r="J215" t="s">
        <v>631</v>
      </c>
      <c r="K215">
        <v>26</v>
      </c>
      <c r="M215" t="s">
        <v>15</v>
      </c>
      <c r="N215" t="s">
        <v>960</v>
      </c>
      <c r="O215" t="s">
        <v>952</v>
      </c>
      <c r="P215" t="s">
        <v>960</v>
      </c>
    </row>
    <row r="216" spans="1:16" x14ac:dyDescent="0.35">
      <c r="A216">
        <v>1106</v>
      </c>
      <c r="B216">
        <v>1</v>
      </c>
      <c r="C216">
        <v>3</v>
      </c>
      <c r="D216" t="s">
        <v>326</v>
      </c>
      <c r="E216" t="s">
        <v>14</v>
      </c>
      <c r="F216" t="s">
        <v>948</v>
      </c>
      <c r="G216">
        <v>38</v>
      </c>
      <c r="H216">
        <v>4</v>
      </c>
      <c r="I216">
        <v>2</v>
      </c>
      <c r="J216" t="s">
        <v>793</v>
      </c>
      <c r="K216">
        <v>7.7750000000000004</v>
      </c>
      <c r="M216" t="s">
        <v>15</v>
      </c>
      <c r="N216" t="s">
        <v>960</v>
      </c>
      <c r="O216" t="s">
        <v>952</v>
      </c>
      <c r="P216" t="s">
        <v>952</v>
      </c>
    </row>
    <row r="217" spans="1:16" x14ac:dyDescent="0.35">
      <c r="A217">
        <v>1107</v>
      </c>
      <c r="B217">
        <v>0</v>
      </c>
      <c r="C217">
        <v>1</v>
      </c>
      <c r="D217" t="s">
        <v>327</v>
      </c>
      <c r="E217" t="s">
        <v>11</v>
      </c>
      <c r="F217" t="s">
        <v>948</v>
      </c>
      <c r="G217">
        <v>42</v>
      </c>
      <c r="H217">
        <v>0</v>
      </c>
      <c r="I217">
        <v>0</v>
      </c>
      <c r="J217" t="s">
        <v>794</v>
      </c>
      <c r="K217">
        <v>42.5</v>
      </c>
      <c r="L217" t="s">
        <v>328</v>
      </c>
      <c r="M217" t="s">
        <v>15</v>
      </c>
      <c r="N217" t="s">
        <v>960</v>
      </c>
      <c r="O217" t="s">
        <v>960</v>
      </c>
      <c r="P217" t="s">
        <v>960</v>
      </c>
    </row>
    <row r="218" spans="1:16" x14ac:dyDescent="0.35">
      <c r="A218">
        <v>1190</v>
      </c>
      <c r="B218">
        <v>0</v>
      </c>
      <c r="C218">
        <v>1</v>
      </c>
      <c r="D218" t="s">
        <v>441</v>
      </c>
      <c r="E218" t="s">
        <v>11</v>
      </c>
      <c r="F218" t="s">
        <v>948</v>
      </c>
      <c r="G218">
        <v>30</v>
      </c>
      <c r="H218">
        <v>0</v>
      </c>
      <c r="I218">
        <v>0</v>
      </c>
      <c r="J218" t="s">
        <v>853</v>
      </c>
      <c r="K218">
        <v>45.5</v>
      </c>
      <c r="M218" t="s">
        <v>15</v>
      </c>
      <c r="N218" t="s">
        <v>960</v>
      </c>
      <c r="O218" t="s">
        <v>960</v>
      </c>
      <c r="P218" t="s">
        <v>960</v>
      </c>
    </row>
    <row r="219" spans="1:16" x14ac:dyDescent="0.35">
      <c r="A219">
        <v>1109</v>
      </c>
      <c r="B219">
        <v>0</v>
      </c>
      <c r="C219">
        <v>1</v>
      </c>
      <c r="D219" t="s">
        <v>330</v>
      </c>
      <c r="E219" t="s">
        <v>11</v>
      </c>
      <c r="F219" t="s">
        <v>948</v>
      </c>
      <c r="G219">
        <v>57</v>
      </c>
      <c r="H219">
        <v>1</v>
      </c>
      <c r="I219">
        <v>1</v>
      </c>
      <c r="J219" t="s">
        <v>796</v>
      </c>
      <c r="K219">
        <v>164.86670000000001</v>
      </c>
      <c r="M219" t="s">
        <v>15</v>
      </c>
      <c r="N219" t="s">
        <v>960</v>
      </c>
      <c r="O219" t="s">
        <v>952</v>
      </c>
      <c r="P219" t="s">
        <v>952</v>
      </c>
    </row>
    <row r="220" spans="1:16" x14ac:dyDescent="0.35">
      <c r="A220">
        <v>1187</v>
      </c>
      <c r="B220">
        <v>0</v>
      </c>
      <c r="C220">
        <v>3</v>
      </c>
      <c r="D220" t="s">
        <v>437</v>
      </c>
      <c r="E220" t="s">
        <v>11</v>
      </c>
      <c r="F220" t="s">
        <v>951</v>
      </c>
      <c r="G220">
        <v>26</v>
      </c>
      <c r="H220">
        <v>0</v>
      </c>
      <c r="I220">
        <v>0</v>
      </c>
      <c r="J220" t="s">
        <v>851</v>
      </c>
      <c r="K220">
        <v>7.8958000000000004</v>
      </c>
      <c r="M220" t="s">
        <v>15</v>
      </c>
      <c r="N220" t="s">
        <v>960</v>
      </c>
      <c r="O220" t="s">
        <v>960</v>
      </c>
      <c r="P220" t="s">
        <v>960</v>
      </c>
    </row>
    <row r="221" spans="1:16" x14ac:dyDescent="0.35">
      <c r="A221">
        <v>1111</v>
      </c>
      <c r="B221">
        <v>0</v>
      </c>
      <c r="C221">
        <v>3</v>
      </c>
      <c r="D221" t="s">
        <v>333</v>
      </c>
      <c r="E221" t="s">
        <v>11</v>
      </c>
      <c r="F221" t="s">
        <v>948</v>
      </c>
      <c r="G221">
        <v>30.2</v>
      </c>
      <c r="H221">
        <v>0</v>
      </c>
      <c r="I221">
        <v>0</v>
      </c>
      <c r="J221" t="s">
        <v>797</v>
      </c>
      <c r="K221">
        <v>8.0500000000000007</v>
      </c>
      <c r="M221" t="s">
        <v>15</v>
      </c>
      <c r="N221" t="s">
        <v>960</v>
      </c>
      <c r="O221" t="s">
        <v>960</v>
      </c>
      <c r="P221" t="s">
        <v>960</v>
      </c>
    </row>
    <row r="222" spans="1:16" x14ac:dyDescent="0.35">
      <c r="A222">
        <v>1186</v>
      </c>
      <c r="B222">
        <v>0</v>
      </c>
      <c r="C222">
        <v>3</v>
      </c>
      <c r="D222" t="s">
        <v>436</v>
      </c>
      <c r="E222" t="s">
        <v>11</v>
      </c>
      <c r="F222" t="s">
        <v>948</v>
      </c>
      <c r="G222">
        <v>36</v>
      </c>
      <c r="H222">
        <v>0</v>
      </c>
      <c r="I222">
        <v>0</v>
      </c>
      <c r="J222" t="s">
        <v>850</v>
      </c>
      <c r="K222">
        <v>9.5</v>
      </c>
      <c r="M222" t="s">
        <v>15</v>
      </c>
      <c r="N222" t="s">
        <v>960</v>
      </c>
      <c r="O222" t="s">
        <v>960</v>
      </c>
      <c r="P222" t="s">
        <v>960</v>
      </c>
    </row>
    <row r="223" spans="1:16" x14ac:dyDescent="0.35">
      <c r="A223">
        <v>1113</v>
      </c>
      <c r="B223">
        <v>0</v>
      </c>
      <c r="C223">
        <v>3</v>
      </c>
      <c r="D223" t="s">
        <v>336</v>
      </c>
      <c r="E223" t="s">
        <v>11</v>
      </c>
      <c r="F223" t="s">
        <v>951</v>
      </c>
      <c r="G223">
        <v>21</v>
      </c>
      <c r="H223">
        <v>0</v>
      </c>
      <c r="I223">
        <v>0</v>
      </c>
      <c r="J223" t="s">
        <v>799</v>
      </c>
      <c r="K223">
        <v>8.0500000000000007</v>
      </c>
      <c r="M223" t="s">
        <v>15</v>
      </c>
      <c r="N223" t="s">
        <v>960</v>
      </c>
      <c r="O223" t="s">
        <v>960</v>
      </c>
      <c r="P223" t="s">
        <v>960</v>
      </c>
    </row>
    <row r="224" spans="1:16" x14ac:dyDescent="0.35">
      <c r="A224">
        <v>1114</v>
      </c>
      <c r="B224">
        <v>1</v>
      </c>
      <c r="C224">
        <v>2</v>
      </c>
      <c r="D224" t="s">
        <v>337</v>
      </c>
      <c r="E224" t="s">
        <v>14</v>
      </c>
      <c r="F224" t="s">
        <v>951</v>
      </c>
      <c r="G224">
        <v>22</v>
      </c>
      <c r="H224">
        <v>0</v>
      </c>
      <c r="I224">
        <v>0</v>
      </c>
      <c r="J224" t="s">
        <v>338</v>
      </c>
      <c r="K224">
        <v>10.5</v>
      </c>
      <c r="L224" t="s">
        <v>339</v>
      </c>
      <c r="M224" t="s">
        <v>15</v>
      </c>
      <c r="N224" t="s">
        <v>960</v>
      </c>
      <c r="O224" t="s">
        <v>960</v>
      </c>
      <c r="P224" t="s">
        <v>960</v>
      </c>
    </row>
    <row r="225" spans="1:16" x14ac:dyDescent="0.35">
      <c r="A225">
        <v>1115</v>
      </c>
      <c r="B225">
        <v>0</v>
      </c>
      <c r="C225">
        <v>3</v>
      </c>
      <c r="D225" t="s">
        <v>340</v>
      </c>
      <c r="E225" t="s">
        <v>11</v>
      </c>
      <c r="F225" t="s">
        <v>951</v>
      </c>
      <c r="G225">
        <v>21</v>
      </c>
      <c r="H225">
        <v>0</v>
      </c>
      <c r="I225">
        <v>0</v>
      </c>
      <c r="J225" t="s">
        <v>800</v>
      </c>
      <c r="K225">
        <v>7.7957999999999998</v>
      </c>
      <c r="M225" t="s">
        <v>15</v>
      </c>
      <c r="N225" t="s">
        <v>960</v>
      </c>
      <c r="O225" t="s">
        <v>960</v>
      </c>
      <c r="P225" t="s">
        <v>960</v>
      </c>
    </row>
    <row r="226" spans="1:16" x14ac:dyDescent="0.35">
      <c r="A226">
        <v>1185</v>
      </c>
      <c r="B226">
        <v>0</v>
      </c>
      <c r="C226">
        <v>1</v>
      </c>
      <c r="D226" t="s">
        <v>434</v>
      </c>
      <c r="E226" t="s">
        <v>11</v>
      </c>
      <c r="F226" t="s">
        <v>948</v>
      </c>
      <c r="G226">
        <v>53</v>
      </c>
      <c r="H226">
        <v>1</v>
      </c>
      <c r="I226">
        <v>1</v>
      </c>
      <c r="J226" t="s">
        <v>849</v>
      </c>
      <c r="K226">
        <v>81.8583</v>
      </c>
      <c r="L226" t="s">
        <v>435</v>
      </c>
      <c r="M226" t="s">
        <v>15</v>
      </c>
      <c r="N226" t="s">
        <v>960</v>
      </c>
      <c r="O226" t="s">
        <v>952</v>
      </c>
      <c r="P226" t="s">
        <v>952</v>
      </c>
    </row>
    <row r="227" spans="1:16" x14ac:dyDescent="0.35">
      <c r="A227">
        <v>1182</v>
      </c>
      <c r="B227">
        <v>0</v>
      </c>
      <c r="C227">
        <v>1</v>
      </c>
      <c r="D227" t="s">
        <v>430</v>
      </c>
      <c r="E227" t="s">
        <v>11</v>
      </c>
      <c r="F227" t="s">
        <v>948</v>
      </c>
      <c r="G227">
        <v>30.2</v>
      </c>
      <c r="H227">
        <v>0</v>
      </c>
      <c r="I227">
        <v>0</v>
      </c>
      <c r="J227" t="s">
        <v>846</v>
      </c>
      <c r="K227">
        <v>39.6</v>
      </c>
      <c r="M227" t="s">
        <v>15</v>
      </c>
      <c r="N227" t="s">
        <v>960</v>
      </c>
      <c r="O227" t="s">
        <v>960</v>
      </c>
      <c r="P227" t="s">
        <v>960</v>
      </c>
    </row>
    <row r="228" spans="1:16" x14ac:dyDescent="0.35">
      <c r="A228">
        <v>1118</v>
      </c>
      <c r="B228">
        <v>0</v>
      </c>
      <c r="C228">
        <v>3</v>
      </c>
      <c r="D228" t="s">
        <v>344</v>
      </c>
      <c r="E228" t="s">
        <v>11</v>
      </c>
      <c r="F228" t="s">
        <v>951</v>
      </c>
      <c r="G228">
        <v>23</v>
      </c>
      <c r="H228">
        <v>0</v>
      </c>
      <c r="I228">
        <v>0</v>
      </c>
      <c r="J228" t="s">
        <v>803</v>
      </c>
      <c r="K228">
        <v>7.7957999999999998</v>
      </c>
      <c r="M228" t="s">
        <v>15</v>
      </c>
      <c r="N228" t="s">
        <v>960</v>
      </c>
      <c r="O228" t="s">
        <v>960</v>
      </c>
      <c r="P228" t="s">
        <v>960</v>
      </c>
    </row>
    <row r="229" spans="1:16" x14ac:dyDescent="0.35">
      <c r="A229">
        <v>1181</v>
      </c>
      <c r="B229">
        <v>0</v>
      </c>
      <c r="C229">
        <v>3</v>
      </c>
      <c r="D229" t="s">
        <v>428</v>
      </c>
      <c r="E229" t="s">
        <v>11</v>
      </c>
      <c r="F229" t="s">
        <v>948</v>
      </c>
      <c r="G229">
        <v>30.2</v>
      </c>
      <c r="H229">
        <v>0</v>
      </c>
      <c r="I229">
        <v>0</v>
      </c>
      <c r="J229" t="s">
        <v>429</v>
      </c>
      <c r="K229">
        <v>8.0500000000000007</v>
      </c>
      <c r="M229" t="s">
        <v>15</v>
      </c>
      <c r="N229" t="s">
        <v>960</v>
      </c>
      <c r="O229" t="s">
        <v>960</v>
      </c>
      <c r="P229" t="s">
        <v>960</v>
      </c>
    </row>
    <row r="230" spans="1:16" x14ac:dyDescent="0.35">
      <c r="A230">
        <v>1120</v>
      </c>
      <c r="B230">
        <v>0</v>
      </c>
      <c r="C230">
        <v>3</v>
      </c>
      <c r="D230" t="s">
        <v>346</v>
      </c>
      <c r="E230" t="s">
        <v>11</v>
      </c>
      <c r="F230" t="s">
        <v>948</v>
      </c>
      <c r="G230">
        <v>40.5</v>
      </c>
      <c r="H230">
        <v>0</v>
      </c>
      <c r="I230">
        <v>0</v>
      </c>
      <c r="J230" t="s">
        <v>347</v>
      </c>
      <c r="K230">
        <v>15.1</v>
      </c>
      <c r="M230" t="s">
        <v>15</v>
      </c>
      <c r="N230" t="s">
        <v>960</v>
      </c>
      <c r="O230" t="s">
        <v>960</v>
      </c>
      <c r="P230" t="s">
        <v>960</v>
      </c>
    </row>
    <row r="231" spans="1:16" x14ac:dyDescent="0.35">
      <c r="A231">
        <v>1121</v>
      </c>
      <c r="B231">
        <v>0</v>
      </c>
      <c r="C231">
        <v>2</v>
      </c>
      <c r="D231" t="s">
        <v>348</v>
      </c>
      <c r="E231" t="s">
        <v>11</v>
      </c>
      <c r="F231" t="s">
        <v>948</v>
      </c>
      <c r="G231">
        <v>36</v>
      </c>
      <c r="H231">
        <v>0</v>
      </c>
      <c r="I231">
        <v>0</v>
      </c>
      <c r="J231" t="s">
        <v>805</v>
      </c>
      <c r="K231">
        <v>13</v>
      </c>
      <c r="M231" t="s">
        <v>15</v>
      </c>
      <c r="N231" t="s">
        <v>960</v>
      </c>
      <c r="O231" t="s">
        <v>960</v>
      </c>
      <c r="P231" t="s">
        <v>960</v>
      </c>
    </row>
    <row r="232" spans="1:16" x14ac:dyDescent="0.35">
      <c r="A232">
        <v>1122</v>
      </c>
      <c r="B232">
        <v>0</v>
      </c>
      <c r="C232">
        <v>2</v>
      </c>
      <c r="D232" t="s">
        <v>349</v>
      </c>
      <c r="E232" t="s">
        <v>11</v>
      </c>
      <c r="F232" t="s">
        <v>950</v>
      </c>
      <c r="G232">
        <v>14</v>
      </c>
      <c r="H232">
        <v>0</v>
      </c>
      <c r="I232">
        <v>0</v>
      </c>
      <c r="J232" t="s">
        <v>806</v>
      </c>
      <c r="K232">
        <v>65</v>
      </c>
      <c r="M232" t="s">
        <v>15</v>
      </c>
      <c r="N232" t="s">
        <v>952</v>
      </c>
      <c r="O232" t="s">
        <v>960</v>
      </c>
      <c r="P232" t="s">
        <v>960</v>
      </c>
    </row>
    <row r="233" spans="1:16" x14ac:dyDescent="0.35">
      <c r="A233">
        <v>1123</v>
      </c>
      <c r="B233">
        <v>1</v>
      </c>
      <c r="C233">
        <v>1</v>
      </c>
      <c r="D233" t="s">
        <v>350</v>
      </c>
      <c r="E233" t="s">
        <v>14</v>
      </c>
      <c r="F233" t="s">
        <v>951</v>
      </c>
      <c r="G233">
        <v>21</v>
      </c>
      <c r="H233">
        <v>0</v>
      </c>
      <c r="I233">
        <v>0</v>
      </c>
      <c r="J233" t="s">
        <v>807</v>
      </c>
      <c r="K233">
        <v>26.55</v>
      </c>
      <c r="M233" t="s">
        <v>15</v>
      </c>
      <c r="N233" t="s">
        <v>960</v>
      </c>
      <c r="O233" t="s">
        <v>960</v>
      </c>
      <c r="P233" t="s">
        <v>960</v>
      </c>
    </row>
    <row r="234" spans="1:16" x14ac:dyDescent="0.35">
      <c r="A234">
        <v>1124</v>
      </c>
      <c r="B234">
        <v>0</v>
      </c>
      <c r="C234">
        <v>3</v>
      </c>
      <c r="D234" t="s">
        <v>351</v>
      </c>
      <c r="E234" t="s">
        <v>11</v>
      </c>
      <c r="F234" t="s">
        <v>951</v>
      </c>
      <c r="G234">
        <v>21</v>
      </c>
      <c r="H234">
        <v>1</v>
      </c>
      <c r="I234">
        <v>0</v>
      </c>
      <c r="J234" t="s">
        <v>808</v>
      </c>
      <c r="K234">
        <v>6.4958</v>
      </c>
      <c r="M234" t="s">
        <v>15</v>
      </c>
      <c r="N234" t="s">
        <v>960</v>
      </c>
      <c r="O234" t="s">
        <v>952</v>
      </c>
      <c r="P234" t="s">
        <v>960</v>
      </c>
    </row>
    <row r="235" spans="1:16" x14ac:dyDescent="0.35">
      <c r="A235">
        <v>1179</v>
      </c>
      <c r="B235">
        <v>0</v>
      </c>
      <c r="C235">
        <v>1</v>
      </c>
      <c r="D235" t="s">
        <v>425</v>
      </c>
      <c r="E235" t="s">
        <v>11</v>
      </c>
      <c r="F235" t="s">
        <v>951</v>
      </c>
      <c r="G235">
        <v>24</v>
      </c>
      <c r="H235">
        <v>1</v>
      </c>
      <c r="I235">
        <v>0</v>
      </c>
      <c r="J235" t="s">
        <v>630</v>
      </c>
      <c r="K235">
        <v>82.2667</v>
      </c>
      <c r="L235" t="s">
        <v>29</v>
      </c>
      <c r="M235" t="s">
        <v>15</v>
      </c>
      <c r="N235" t="s">
        <v>960</v>
      </c>
      <c r="O235" t="s">
        <v>952</v>
      </c>
      <c r="P235" t="s">
        <v>960</v>
      </c>
    </row>
    <row r="236" spans="1:16" x14ac:dyDescent="0.35">
      <c r="A236">
        <v>1178</v>
      </c>
      <c r="B236">
        <v>0</v>
      </c>
      <c r="C236">
        <v>3</v>
      </c>
      <c r="D236" t="s">
        <v>423</v>
      </c>
      <c r="E236" t="s">
        <v>11</v>
      </c>
      <c r="F236" t="s">
        <v>948</v>
      </c>
      <c r="G236">
        <v>30.2</v>
      </c>
      <c r="H236">
        <v>0</v>
      </c>
      <c r="I236">
        <v>0</v>
      </c>
      <c r="J236" t="s">
        <v>844</v>
      </c>
      <c r="K236">
        <v>7.25</v>
      </c>
      <c r="M236" t="s">
        <v>15</v>
      </c>
      <c r="N236" t="s">
        <v>960</v>
      </c>
      <c r="O236" t="s">
        <v>960</v>
      </c>
      <c r="P236" t="s">
        <v>960</v>
      </c>
    </row>
    <row r="237" spans="1:16" x14ac:dyDescent="0.35">
      <c r="A237">
        <v>1127</v>
      </c>
      <c r="B237">
        <v>0</v>
      </c>
      <c r="C237">
        <v>3</v>
      </c>
      <c r="D237" t="s">
        <v>356</v>
      </c>
      <c r="E237" t="s">
        <v>11</v>
      </c>
      <c r="F237" t="s">
        <v>951</v>
      </c>
      <c r="G237">
        <v>20</v>
      </c>
      <c r="H237">
        <v>0</v>
      </c>
      <c r="I237">
        <v>0</v>
      </c>
      <c r="J237" t="s">
        <v>811</v>
      </c>
      <c r="K237">
        <v>7.8541999999999996</v>
      </c>
      <c r="M237" t="s">
        <v>15</v>
      </c>
      <c r="N237" t="s">
        <v>960</v>
      </c>
      <c r="O237" t="s">
        <v>960</v>
      </c>
      <c r="P237" t="s">
        <v>960</v>
      </c>
    </row>
    <row r="238" spans="1:16" x14ac:dyDescent="0.35">
      <c r="A238">
        <v>1177</v>
      </c>
      <c r="B238">
        <v>0</v>
      </c>
      <c r="C238">
        <v>3</v>
      </c>
      <c r="D238" t="s">
        <v>421</v>
      </c>
      <c r="E238" t="s">
        <v>11</v>
      </c>
      <c r="F238" t="s">
        <v>948</v>
      </c>
      <c r="G238">
        <v>36</v>
      </c>
      <c r="H238">
        <v>0</v>
      </c>
      <c r="I238">
        <v>0</v>
      </c>
      <c r="J238" t="s">
        <v>422</v>
      </c>
      <c r="K238">
        <v>7.25</v>
      </c>
      <c r="M238" t="s">
        <v>15</v>
      </c>
      <c r="N238" t="s">
        <v>960</v>
      </c>
      <c r="O238" t="s">
        <v>960</v>
      </c>
      <c r="P238" t="s">
        <v>960</v>
      </c>
    </row>
    <row r="239" spans="1:16" x14ac:dyDescent="0.35">
      <c r="A239">
        <v>1176</v>
      </c>
      <c r="B239">
        <v>1</v>
      </c>
      <c r="C239">
        <v>3</v>
      </c>
      <c r="D239" t="s">
        <v>420</v>
      </c>
      <c r="E239" t="s">
        <v>14</v>
      </c>
      <c r="F239" t="s">
        <v>950</v>
      </c>
      <c r="G239">
        <v>2</v>
      </c>
      <c r="H239">
        <v>1</v>
      </c>
      <c r="I239">
        <v>1</v>
      </c>
      <c r="J239" t="s">
        <v>843</v>
      </c>
      <c r="K239">
        <v>20.212499999999999</v>
      </c>
      <c r="M239" t="s">
        <v>15</v>
      </c>
      <c r="N239" t="s">
        <v>952</v>
      </c>
      <c r="O239" t="s">
        <v>952</v>
      </c>
      <c r="P239" t="s">
        <v>952</v>
      </c>
    </row>
    <row r="240" spans="1:16" x14ac:dyDescent="0.35">
      <c r="A240">
        <v>1130</v>
      </c>
      <c r="B240">
        <v>1</v>
      </c>
      <c r="C240">
        <v>2</v>
      </c>
      <c r="D240" t="s">
        <v>360</v>
      </c>
      <c r="E240" t="s">
        <v>14</v>
      </c>
      <c r="F240" t="s">
        <v>951</v>
      </c>
      <c r="G240">
        <v>18</v>
      </c>
      <c r="H240">
        <v>1</v>
      </c>
      <c r="I240">
        <v>1</v>
      </c>
      <c r="J240" t="s">
        <v>814</v>
      </c>
      <c r="K240">
        <v>13</v>
      </c>
      <c r="M240" t="s">
        <v>15</v>
      </c>
      <c r="N240" t="s">
        <v>960</v>
      </c>
      <c r="O240" t="s">
        <v>952</v>
      </c>
      <c r="P240" t="s">
        <v>952</v>
      </c>
    </row>
    <row r="241" spans="1:16" x14ac:dyDescent="0.35">
      <c r="A241">
        <v>1173</v>
      </c>
      <c r="B241">
        <v>0</v>
      </c>
      <c r="C241">
        <v>3</v>
      </c>
      <c r="D241" t="s">
        <v>417</v>
      </c>
      <c r="E241" t="s">
        <v>11</v>
      </c>
      <c r="F241" t="s">
        <v>950</v>
      </c>
      <c r="G241">
        <v>0.75</v>
      </c>
      <c r="H241">
        <v>1</v>
      </c>
      <c r="I241">
        <v>1</v>
      </c>
      <c r="J241" t="s">
        <v>754</v>
      </c>
      <c r="K241">
        <v>13.775</v>
      </c>
      <c r="M241" t="s">
        <v>15</v>
      </c>
      <c r="N241" t="s">
        <v>952</v>
      </c>
      <c r="O241" t="s">
        <v>952</v>
      </c>
      <c r="P241" t="s">
        <v>952</v>
      </c>
    </row>
    <row r="242" spans="1:16" x14ac:dyDescent="0.35">
      <c r="A242">
        <v>1172</v>
      </c>
      <c r="B242">
        <v>1</v>
      </c>
      <c r="C242">
        <v>3</v>
      </c>
      <c r="D242" t="s">
        <v>416</v>
      </c>
      <c r="E242" t="s">
        <v>14</v>
      </c>
      <c r="F242" t="s">
        <v>951</v>
      </c>
      <c r="G242">
        <v>23</v>
      </c>
      <c r="H242">
        <v>0</v>
      </c>
      <c r="I242">
        <v>0</v>
      </c>
      <c r="J242" t="s">
        <v>841</v>
      </c>
      <c r="K242">
        <v>8.6624999999999996</v>
      </c>
      <c r="M242" t="s">
        <v>15</v>
      </c>
      <c r="N242" t="s">
        <v>960</v>
      </c>
      <c r="O242" t="s">
        <v>960</v>
      </c>
      <c r="P242" t="s">
        <v>960</v>
      </c>
    </row>
    <row r="243" spans="1:16" x14ac:dyDescent="0.35">
      <c r="A243">
        <v>1133</v>
      </c>
      <c r="B243">
        <v>1</v>
      </c>
      <c r="C243">
        <v>2</v>
      </c>
      <c r="D243" t="s">
        <v>365</v>
      </c>
      <c r="E243" t="s">
        <v>14</v>
      </c>
      <c r="F243" t="s">
        <v>948</v>
      </c>
      <c r="G243">
        <v>45</v>
      </c>
      <c r="H243">
        <v>0</v>
      </c>
      <c r="I243">
        <v>2</v>
      </c>
      <c r="J243" t="s">
        <v>817</v>
      </c>
      <c r="K243">
        <v>30</v>
      </c>
      <c r="M243" t="s">
        <v>15</v>
      </c>
      <c r="N243" t="s">
        <v>960</v>
      </c>
      <c r="O243" t="s">
        <v>960</v>
      </c>
      <c r="P243" t="s">
        <v>952</v>
      </c>
    </row>
    <row r="244" spans="1:16" x14ac:dyDescent="0.35">
      <c r="A244">
        <v>1171</v>
      </c>
      <c r="B244">
        <v>0</v>
      </c>
      <c r="C244">
        <v>2</v>
      </c>
      <c r="D244" t="s">
        <v>414</v>
      </c>
      <c r="E244" t="s">
        <v>11</v>
      </c>
      <c r="F244" t="s">
        <v>951</v>
      </c>
      <c r="G244">
        <v>22</v>
      </c>
      <c r="H244">
        <v>0</v>
      </c>
      <c r="I244">
        <v>0</v>
      </c>
      <c r="J244" t="s">
        <v>415</v>
      </c>
      <c r="K244">
        <v>10.5</v>
      </c>
      <c r="M244" t="s">
        <v>15</v>
      </c>
      <c r="N244" t="s">
        <v>960</v>
      </c>
      <c r="O244" t="s">
        <v>960</v>
      </c>
      <c r="P244" t="s">
        <v>960</v>
      </c>
    </row>
    <row r="245" spans="1:16" x14ac:dyDescent="0.35">
      <c r="A245">
        <v>1135</v>
      </c>
      <c r="B245">
        <v>0</v>
      </c>
      <c r="C245">
        <v>3</v>
      </c>
      <c r="D245" t="s">
        <v>367</v>
      </c>
      <c r="E245" t="s">
        <v>11</v>
      </c>
      <c r="F245" t="s">
        <v>948</v>
      </c>
      <c r="G245">
        <v>30.2</v>
      </c>
      <c r="H245">
        <v>0</v>
      </c>
      <c r="I245">
        <v>0</v>
      </c>
      <c r="J245" t="s">
        <v>818</v>
      </c>
      <c r="K245">
        <v>7.8875000000000002</v>
      </c>
      <c r="M245" t="s">
        <v>15</v>
      </c>
      <c r="N245" t="s">
        <v>960</v>
      </c>
      <c r="O245" t="s">
        <v>960</v>
      </c>
      <c r="P245" t="s">
        <v>960</v>
      </c>
    </row>
    <row r="246" spans="1:16" x14ac:dyDescent="0.35">
      <c r="A246">
        <v>1136</v>
      </c>
      <c r="B246">
        <v>0</v>
      </c>
      <c r="C246">
        <v>3</v>
      </c>
      <c r="D246" t="s">
        <v>368</v>
      </c>
      <c r="E246" t="s">
        <v>11</v>
      </c>
      <c r="F246" t="s">
        <v>948</v>
      </c>
      <c r="G246">
        <v>30.2</v>
      </c>
      <c r="H246">
        <v>1</v>
      </c>
      <c r="I246">
        <v>2</v>
      </c>
      <c r="J246" t="s">
        <v>67</v>
      </c>
      <c r="K246">
        <v>23.45</v>
      </c>
      <c r="M246" t="s">
        <v>15</v>
      </c>
      <c r="N246" t="s">
        <v>960</v>
      </c>
      <c r="O246" t="s">
        <v>952</v>
      </c>
      <c r="P246" t="s">
        <v>952</v>
      </c>
    </row>
    <row r="247" spans="1:16" x14ac:dyDescent="0.35">
      <c r="A247">
        <v>1137</v>
      </c>
      <c r="B247">
        <v>0</v>
      </c>
      <c r="C247">
        <v>1</v>
      </c>
      <c r="D247" t="s">
        <v>369</v>
      </c>
      <c r="E247" t="s">
        <v>11</v>
      </c>
      <c r="F247" t="s">
        <v>948</v>
      </c>
      <c r="G247">
        <v>41</v>
      </c>
      <c r="H247">
        <v>1</v>
      </c>
      <c r="I247">
        <v>0</v>
      </c>
      <c r="J247" t="s">
        <v>819</v>
      </c>
      <c r="K247">
        <v>51.862499999999997</v>
      </c>
      <c r="L247" t="s">
        <v>370</v>
      </c>
      <c r="M247" t="s">
        <v>15</v>
      </c>
      <c r="N247" t="s">
        <v>960</v>
      </c>
      <c r="O247" t="s">
        <v>952</v>
      </c>
      <c r="P247" t="s">
        <v>960</v>
      </c>
    </row>
    <row r="248" spans="1:16" x14ac:dyDescent="0.35">
      <c r="A248">
        <v>1138</v>
      </c>
      <c r="B248">
        <v>1</v>
      </c>
      <c r="C248">
        <v>2</v>
      </c>
      <c r="D248" t="s">
        <v>371</v>
      </c>
      <c r="E248" t="s">
        <v>14</v>
      </c>
      <c r="F248" t="s">
        <v>951</v>
      </c>
      <c r="G248">
        <v>22</v>
      </c>
      <c r="H248">
        <v>0</v>
      </c>
      <c r="I248">
        <v>0</v>
      </c>
      <c r="J248" t="s">
        <v>115</v>
      </c>
      <c r="K248">
        <v>21</v>
      </c>
      <c r="M248" t="s">
        <v>15</v>
      </c>
      <c r="N248" t="s">
        <v>960</v>
      </c>
      <c r="O248" t="s">
        <v>960</v>
      </c>
      <c r="P248" t="s">
        <v>960</v>
      </c>
    </row>
    <row r="249" spans="1:16" x14ac:dyDescent="0.35">
      <c r="A249">
        <v>1139</v>
      </c>
      <c r="B249">
        <v>0</v>
      </c>
      <c r="C249">
        <v>2</v>
      </c>
      <c r="D249" t="s">
        <v>372</v>
      </c>
      <c r="E249" t="s">
        <v>11</v>
      </c>
      <c r="F249" t="s">
        <v>948</v>
      </c>
      <c r="G249">
        <v>42</v>
      </c>
      <c r="H249">
        <v>1</v>
      </c>
      <c r="I249">
        <v>1</v>
      </c>
      <c r="J249" t="s">
        <v>779</v>
      </c>
      <c r="K249">
        <v>32.5</v>
      </c>
      <c r="M249" t="s">
        <v>15</v>
      </c>
      <c r="N249" t="s">
        <v>960</v>
      </c>
      <c r="O249" t="s">
        <v>952</v>
      </c>
      <c r="P249" t="s">
        <v>952</v>
      </c>
    </row>
    <row r="250" spans="1:16" x14ac:dyDescent="0.35">
      <c r="A250">
        <v>1140</v>
      </c>
      <c r="B250">
        <v>1</v>
      </c>
      <c r="C250">
        <v>2</v>
      </c>
      <c r="D250" t="s">
        <v>373</v>
      </c>
      <c r="E250" t="s">
        <v>14</v>
      </c>
      <c r="F250" t="s">
        <v>951</v>
      </c>
      <c r="G250">
        <v>29</v>
      </c>
      <c r="H250">
        <v>1</v>
      </c>
      <c r="I250">
        <v>0</v>
      </c>
      <c r="J250" t="s">
        <v>820</v>
      </c>
      <c r="K250">
        <v>26</v>
      </c>
      <c r="M250" t="s">
        <v>15</v>
      </c>
      <c r="N250" t="s">
        <v>960</v>
      </c>
      <c r="O250" t="s">
        <v>952</v>
      </c>
      <c r="P250" t="s">
        <v>960</v>
      </c>
    </row>
    <row r="251" spans="1:16" x14ac:dyDescent="0.35">
      <c r="A251">
        <v>1170</v>
      </c>
      <c r="B251">
        <v>0</v>
      </c>
      <c r="C251">
        <v>2</v>
      </c>
      <c r="D251" t="s">
        <v>412</v>
      </c>
      <c r="E251" t="s">
        <v>11</v>
      </c>
      <c r="F251" t="s">
        <v>948</v>
      </c>
      <c r="G251">
        <v>30</v>
      </c>
      <c r="H251">
        <v>1</v>
      </c>
      <c r="I251">
        <v>0</v>
      </c>
      <c r="J251" t="s">
        <v>840</v>
      </c>
      <c r="K251">
        <v>21</v>
      </c>
      <c r="M251" t="s">
        <v>15</v>
      </c>
      <c r="N251" t="s">
        <v>960</v>
      </c>
      <c r="O251" t="s">
        <v>952</v>
      </c>
      <c r="P251" t="s">
        <v>960</v>
      </c>
    </row>
    <row r="252" spans="1:16" x14ac:dyDescent="0.35">
      <c r="A252">
        <v>1142</v>
      </c>
      <c r="B252">
        <v>1</v>
      </c>
      <c r="C252">
        <v>2</v>
      </c>
      <c r="D252" t="s">
        <v>375</v>
      </c>
      <c r="E252" t="s">
        <v>14</v>
      </c>
      <c r="F252" t="s">
        <v>950</v>
      </c>
      <c r="G252">
        <v>0.92</v>
      </c>
      <c r="H252">
        <v>1</v>
      </c>
      <c r="I252">
        <v>2</v>
      </c>
      <c r="J252" t="s">
        <v>376</v>
      </c>
      <c r="K252">
        <v>27.75</v>
      </c>
      <c r="M252" t="s">
        <v>15</v>
      </c>
      <c r="N252" t="s">
        <v>952</v>
      </c>
      <c r="O252" t="s">
        <v>952</v>
      </c>
      <c r="P252" t="s">
        <v>952</v>
      </c>
    </row>
    <row r="253" spans="1:16" x14ac:dyDescent="0.35">
      <c r="A253">
        <v>1143</v>
      </c>
      <c r="B253">
        <v>0</v>
      </c>
      <c r="C253">
        <v>3</v>
      </c>
      <c r="D253" t="s">
        <v>377</v>
      </c>
      <c r="E253" t="s">
        <v>11</v>
      </c>
      <c r="F253" t="s">
        <v>951</v>
      </c>
      <c r="G253">
        <v>20</v>
      </c>
      <c r="H253">
        <v>0</v>
      </c>
      <c r="I253">
        <v>0</v>
      </c>
      <c r="J253" t="s">
        <v>821</v>
      </c>
      <c r="K253">
        <v>7.9249999999999998</v>
      </c>
      <c r="M253" t="s">
        <v>15</v>
      </c>
      <c r="N253" t="s">
        <v>960</v>
      </c>
      <c r="O253" t="s">
        <v>960</v>
      </c>
      <c r="P253" t="s">
        <v>960</v>
      </c>
    </row>
    <row r="254" spans="1:16" x14ac:dyDescent="0.35">
      <c r="A254">
        <v>1169</v>
      </c>
      <c r="B254">
        <v>0</v>
      </c>
      <c r="C254">
        <v>2</v>
      </c>
      <c r="D254" t="s">
        <v>411</v>
      </c>
      <c r="E254" t="s">
        <v>11</v>
      </c>
      <c r="F254" t="s">
        <v>948</v>
      </c>
      <c r="G254">
        <v>40</v>
      </c>
      <c r="H254">
        <v>1</v>
      </c>
      <c r="I254">
        <v>0</v>
      </c>
      <c r="J254" t="s">
        <v>839</v>
      </c>
      <c r="K254">
        <v>26</v>
      </c>
      <c r="M254" t="s">
        <v>15</v>
      </c>
      <c r="N254" t="s">
        <v>960</v>
      </c>
      <c r="O254" t="s">
        <v>952</v>
      </c>
      <c r="P254" t="s">
        <v>960</v>
      </c>
    </row>
    <row r="255" spans="1:16" x14ac:dyDescent="0.35">
      <c r="A255">
        <v>1145</v>
      </c>
      <c r="B255">
        <v>0</v>
      </c>
      <c r="C255">
        <v>3</v>
      </c>
      <c r="D255" t="s">
        <v>381</v>
      </c>
      <c r="E255" t="s">
        <v>11</v>
      </c>
      <c r="F255" t="s">
        <v>951</v>
      </c>
      <c r="G255">
        <v>24</v>
      </c>
      <c r="H255">
        <v>0</v>
      </c>
      <c r="I255">
        <v>0</v>
      </c>
      <c r="J255" t="s">
        <v>823</v>
      </c>
      <c r="K255">
        <v>9.3249999999999993</v>
      </c>
      <c r="M255" t="s">
        <v>15</v>
      </c>
      <c r="N255" t="s">
        <v>960</v>
      </c>
      <c r="O255" t="s">
        <v>960</v>
      </c>
      <c r="P255" t="s">
        <v>960</v>
      </c>
    </row>
    <row r="256" spans="1:16" x14ac:dyDescent="0.35">
      <c r="A256">
        <v>1146</v>
      </c>
      <c r="B256">
        <v>0</v>
      </c>
      <c r="C256">
        <v>3</v>
      </c>
      <c r="D256" t="s">
        <v>382</v>
      </c>
      <c r="E256" t="s">
        <v>11</v>
      </c>
      <c r="F256" t="s">
        <v>948</v>
      </c>
      <c r="G256">
        <v>32.5</v>
      </c>
      <c r="H256">
        <v>0</v>
      </c>
      <c r="I256">
        <v>0</v>
      </c>
      <c r="J256" t="s">
        <v>824</v>
      </c>
      <c r="K256">
        <v>9.5</v>
      </c>
      <c r="M256" t="s">
        <v>15</v>
      </c>
      <c r="N256" t="s">
        <v>960</v>
      </c>
      <c r="O256" t="s">
        <v>960</v>
      </c>
      <c r="P256" t="s">
        <v>960</v>
      </c>
    </row>
    <row r="257" spans="1:16" x14ac:dyDescent="0.35">
      <c r="A257">
        <v>1147</v>
      </c>
      <c r="B257">
        <v>0</v>
      </c>
      <c r="C257">
        <v>3</v>
      </c>
      <c r="D257" t="s">
        <v>383</v>
      </c>
      <c r="E257" t="s">
        <v>11</v>
      </c>
      <c r="F257" t="s">
        <v>948</v>
      </c>
      <c r="G257">
        <v>30.2</v>
      </c>
      <c r="H257">
        <v>0</v>
      </c>
      <c r="I257">
        <v>0</v>
      </c>
      <c r="J257" t="s">
        <v>384</v>
      </c>
      <c r="K257">
        <v>7.55</v>
      </c>
      <c r="M257" t="s">
        <v>15</v>
      </c>
      <c r="N257" t="s">
        <v>960</v>
      </c>
      <c r="O257" t="s">
        <v>960</v>
      </c>
      <c r="P257" t="s">
        <v>960</v>
      </c>
    </row>
    <row r="258" spans="1:16" x14ac:dyDescent="0.35">
      <c r="A258">
        <v>1168</v>
      </c>
      <c r="B258">
        <v>0</v>
      </c>
      <c r="C258">
        <v>2</v>
      </c>
      <c r="D258" t="s">
        <v>409</v>
      </c>
      <c r="E258" t="s">
        <v>11</v>
      </c>
      <c r="F258" t="s">
        <v>951</v>
      </c>
      <c r="G258">
        <v>28</v>
      </c>
      <c r="H258">
        <v>0</v>
      </c>
      <c r="I258">
        <v>0</v>
      </c>
      <c r="J258" t="s">
        <v>838</v>
      </c>
      <c r="K258">
        <v>10.5</v>
      </c>
      <c r="M258" t="s">
        <v>15</v>
      </c>
      <c r="N258" t="s">
        <v>960</v>
      </c>
      <c r="O258" t="s">
        <v>960</v>
      </c>
      <c r="P258" t="s">
        <v>960</v>
      </c>
    </row>
    <row r="259" spans="1:16" x14ac:dyDescent="0.35">
      <c r="A259">
        <v>1149</v>
      </c>
      <c r="B259">
        <v>0</v>
      </c>
      <c r="C259">
        <v>3</v>
      </c>
      <c r="D259" t="s">
        <v>387</v>
      </c>
      <c r="E259" t="s">
        <v>11</v>
      </c>
      <c r="F259" t="s">
        <v>951</v>
      </c>
      <c r="G259">
        <v>28</v>
      </c>
      <c r="H259">
        <v>0</v>
      </c>
      <c r="I259">
        <v>0</v>
      </c>
      <c r="J259" t="s">
        <v>826</v>
      </c>
      <c r="K259">
        <v>8.0500000000000007</v>
      </c>
      <c r="M259" t="s">
        <v>15</v>
      </c>
      <c r="N259" t="s">
        <v>960</v>
      </c>
      <c r="O259" t="s">
        <v>960</v>
      </c>
      <c r="P259" t="s">
        <v>960</v>
      </c>
    </row>
    <row r="260" spans="1:16" x14ac:dyDescent="0.35">
      <c r="A260">
        <v>1150</v>
      </c>
      <c r="B260">
        <v>1</v>
      </c>
      <c r="C260">
        <v>2</v>
      </c>
      <c r="D260" t="s">
        <v>388</v>
      </c>
      <c r="E260" t="s">
        <v>14</v>
      </c>
      <c r="F260" t="s">
        <v>951</v>
      </c>
      <c r="G260">
        <v>19</v>
      </c>
      <c r="H260">
        <v>0</v>
      </c>
      <c r="I260">
        <v>0</v>
      </c>
      <c r="J260" t="s">
        <v>827</v>
      </c>
      <c r="K260">
        <v>13</v>
      </c>
      <c r="M260" t="s">
        <v>15</v>
      </c>
      <c r="N260" t="s">
        <v>960</v>
      </c>
      <c r="O260" t="s">
        <v>960</v>
      </c>
      <c r="P260" t="s">
        <v>960</v>
      </c>
    </row>
    <row r="261" spans="1:16" x14ac:dyDescent="0.35">
      <c r="A261">
        <v>1151</v>
      </c>
      <c r="B261">
        <v>0</v>
      </c>
      <c r="C261">
        <v>3</v>
      </c>
      <c r="D261" t="s">
        <v>389</v>
      </c>
      <c r="E261" t="s">
        <v>11</v>
      </c>
      <c r="F261" t="s">
        <v>951</v>
      </c>
      <c r="G261">
        <v>21</v>
      </c>
      <c r="H261">
        <v>0</v>
      </c>
      <c r="I261">
        <v>0</v>
      </c>
      <c r="J261" t="s">
        <v>828</v>
      </c>
      <c r="K261">
        <v>7.7750000000000004</v>
      </c>
      <c r="M261" t="s">
        <v>15</v>
      </c>
      <c r="N261" t="s">
        <v>960</v>
      </c>
      <c r="O261" t="s">
        <v>960</v>
      </c>
      <c r="P261" t="s">
        <v>960</v>
      </c>
    </row>
    <row r="262" spans="1:16" x14ac:dyDescent="0.35">
      <c r="A262">
        <v>1152</v>
      </c>
      <c r="B262">
        <v>0</v>
      </c>
      <c r="C262">
        <v>3</v>
      </c>
      <c r="D262" t="s">
        <v>390</v>
      </c>
      <c r="E262" t="s">
        <v>11</v>
      </c>
      <c r="F262" t="s">
        <v>948</v>
      </c>
      <c r="G262">
        <v>36.5</v>
      </c>
      <c r="H262">
        <v>1</v>
      </c>
      <c r="I262">
        <v>0</v>
      </c>
      <c r="J262" t="s">
        <v>829</v>
      </c>
      <c r="K262">
        <v>17.399999999999999</v>
      </c>
      <c r="M262" t="s">
        <v>15</v>
      </c>
      <c r="N262" t="s">
        <v>960</v>
      </c>
      <c r="O262" t="s">
        <v>952</v>
      </c>
      <c r="P262" t="s">
        <v>960</v>
      </c>
    </row>
    <row r="263" spans="1:16" x14ac:dyDescent="0.35">
      <c r="A263">
        <v>1153</v>
      </c>
      <c r="B263">
        <v>0</v>
      </c>
      <c r="C263">
        <v>3</v>
      </c>
      <c r="D263" t="s">
        <v>391</v>
      </c>
      <c r="E263" t="s">
        <v>11</v>
      </c>
      <c r="F263" t="s">
        <v>951</v>
      </c>
      <c r="G263">
        <v>21</v>
      </c>
      <c r="H263">
        <v>0</v>
      </c>
      <c r="I263">
        <v>0</v>
      </c>
      <c r="J263" t="s">
        <v>830</v>
      </c>
      <c r="K263">
        <v>7.8541999999999996</v>
      </c>
      <c r="M263" t="s">
        <v>15</v>
      </c>
      <c r="N263" t="s">
        <v>960</v>
      </c>
      <c r="O263" t="s">
        <v>960</v>
      </c>
      <c r="P263" t="s">
        <v>960</v>
      </c>
    </row>
    <row r="264" spans="1:16" x14ac:dyDescent="0.35">
      <c r="A264">
        <v>1154</v>
      </c>
      <c r="B264">
        <v>1</v>
      </c>
      <c r="C264">
        <v>2</v>
      </c>
      <c r="D264" t="s">
        <v>392</v>
      </c>
      <c r="E264" t="s">
        <v>14</v>
      </c>
      <c r="F264" t="s">
        <v>951</v>
      </c>
      <c r="G264">
        <v>29</v>
      </c>
      <c r="H264">
        <v>0</v>
      </c>
      <c r="I264">
        <v>2</v>
      </c>
      <c r="J264" t="s">
        <v>694</v>
      </c>
      <c r="K264">
        <v>23</v>
      </c>
      <c r="M264" t="s">
        <v>15</v>
      </c>
      <c r="N264" t="s">
        <v>960</v>
      </c>
      <c r="O264" t="s">
        <v>960</v>
      </c>
      <c r="P264" t="s">
        <v>952</v>
      </c>
    </row>
    <row r="265" spans="1:16" x14ac:dyDescent="0.35">
      <c r="A265">
        <v>1155</v>
      </c>
      <c r="B265">
        <v>1</v>
      </c>
      <c r="C265">
        <v>3</v>
      </c>
      <c r="D265" t="s">
        <v>393</v>
      </c>
      <c r="E265" t="s">
        <v>14</v>
      </c>
      <c r="F265" t="s">
        <v>950</v>
      </c>
      <c r="G265">
        <v>1</v>
      </c>
      <c r="H265">
        <v>1</v>
      </c>
      <c r="I265">
        <v>1</v>
      </c>
      <c r="J265" t="s">
        <v>750</v>
      </c>
      <c r="K265">
        <v>12.183299999999999</v>
      </c>
      <c r="M265" t="s">
        <v>15</v>
      </c>
      <c r="N265" t="s">
        <v>952</v>
      </c>
      <c r="O265" t="s">
        <v>952</v>
      </c>
      <c r="P265" t="s">
        <v>952</v>
      </c>
    </row>
    <row r="266" spans="1:16" x14ac:dyDescent="0.35">
      <c r="A266">
        <v>1167</v>
      </c>
      <c r="B266">
        <v>1</v>
      </c>
      <c r="C266">
        <v>2</v>
      </c>
      <c r="D266" t="s">
        <v>408</v>
      </c>
      <c r="E266" t="s">
        <v>14</v>
      </c>
      <c r="F266" t="s">
        <v>951</v>
      </c>
      <c r="G266">
        <v>20</v>
      </c>
      <c r="H266">
        <v>1</v>
      </c>
      <c r="I266">
        <v>0</v>
      </c>
      <c r="J266" t="s">
        <v>837</v>
      </c>
      <c r="K266">
        <v>26</v>
      </c>
      <c r="M266" t="s">
        <v>15</v>
      </c>
      <c r="N266" t="s">
        <v>960</v>
      </c>
      <c r="O266" t="s">
        <v>952</v>
      </c>
      <c r="P266" t="s">
        <v>960</v>
      </c>
    </row>
    <row r="267" spans="1:16" x14ac:dyDescent="0.35">
      <c r="A267">
        <v>1157</v>
      </c>
      <c r="B267">
        <v>0</v>
      </c>
      <c r="C267">
        <v>3</v>
      </c>
      <c r="D267" t="s">
        <v>396</v>
      </c>
      <c r="E267" t="s">
        <v>11</v>
      </c>
      <c r="F267" t="s">
        <v>948</v>
      </c>
      <c r="G267">
        <v>30.2</v>
      </c>
      <c r="H267">
        <v>0</v>
      </c>
      <c r="I267">
        <v>0</v>
      </c>
      <c r="J267" t="s">
        <v>831</v>
      </c>
      <c r="K267">
        <v>7.8958000000000004</v>
      </c>
      <c r="M267" t="s">
        <v>15</v>
      </c>
      <c r="N267" t="s">
        <v>960</v>
      </c>
      <c r="O267" t="s">
        <v>960</v>
      </c>
      <c r="P267" t="s">
        <v>960</v>
      </c>
    </row>
    <row r="268" spans="1:16" x14ac:dyDescent="0.35">
      <c r="A268">
        <v>1158</v>
      </c>
      <c r="B268">
        <v>0</v>
      </c>
      <c r="C268">
        <v>1</v>
      </c>
      <c r="D268" t="s">
        <v>397</v>
      </c>
      <c r="E268" t="s">
        <v>11</v>
      </c>
      <c r="F268" t="s">
        <v>948</v>
      </c>
      <c r="G268">
        <v>30.2</v>
      </c>
      <c r="H268">
        <v>0</v>
      </c>
      <c r="I268">
        <v>0</v>
      </c>
      <c r="J268" t="s">
        <v>832</v>
      </c>
      <c r="K268">
        <v>0</v>
      </c>
      <c r="M268" t="s">
        <v>15</v>
      </c>
      <c r="N268" t="s">
        <v>960</v>
      </c>
      <c r="O268" t="s">
        <v>960</v>
      </c>
      <c r="P268" t="s">
        <v>960</v>
      </c>
    </row>
    <row r="269" spans="1:16" x14ac:dyDescent="0.35">
      <c r="A269">
        <v>1159</v>
      </c>
      <c r="B269">
        <v>0</v>
      </c>
      <c r="C269">
        <v>3</v>
      </c>
      <c r="D269" t="s">
        <v>398</v>
      </c>
      <c r="E269" t="s">
        <v>11</v>
      </c>
      <c r="F269" t="s">
        <v>948</v>
      </c>
      <c r="G269">
        <v>30.2</v>
      </c>
      <c r="H269">
        <v>0</v>
      </c>
      <c r="I269">
        <v>0</v>
      </c>
      <c r="J269" t="s">
        <v>399</v>
      </c>
      <c r="K269">
        <v>7.55</v>
      </c>
      <c r="M269" t="s">
        <v>15</v>
      </c>
      <c r="N269" t="s">
        <v>960</v>
      </c>
      <c r="O269" t="s">
        <v>960</v>
      </c>
      <c r="P269" t="s">
        <v>960</v>
      </c>
    </row>
    <row r="270" spans="1:16" x14ac:dyDescent="0.35">
      <c r="A270">
        <v>1160</v>
      </c>
      <c r="B270">
        <v>1</v>
      </c>
      <c r="C270">
        <v>3</v>
      </c>
      <c r="D270" t="s">
        <v>400</v>
      </c>
      <c r="E270" t="s">
        <v>14</v>
      </c>
      <c r="F270" t="s">
        <v>948</v>
      </c>
      <c r="G270">
        <v>30.2</v>
      </c>
      <c r="H270">
        <v>0</v>
      </c>
      <c r="I270">
        <v>0</v>
      </c>
      <c r="J270" t="s">
        <v>401</v>
      </c>
      <c r="K270">
        <v>8.0500000000000007</v>
      </c>
      <c r="M270" t="s">
        <v>15</v>
      </c>
      <c r="N270" t="s">
        <v>960</v>
      </c>
      <c r="O270" t="s">
        <v>960</v>
      </c>
      <c r="P270" t="s">
        <v>960</v>
      </c>
    </row>
    <row r="271" spans="1:16" x14ac:dyDescent="0.35">
      <c r="A271">
        <v>1161</v>
      </c>
      <c r="B271">
        <v>0</v>
      </c>
      <c r="C271">
        <v>3</v>
      </c>
      <c r="D271" t="s">
        <v>402</v>
      </c>
      <c r="E271" t="s">
        <v>11</v>
      </c>
      <c r="F271" t="s">
        <v>950</v>
      </c>
      <c r="G271">
        <v>17</v>
      </c>
      <c r="H271">
        <v>0</v>
      </c>
      <c r="I271">
        <v>0</v>
      </c>
      <c r="J271" t="s">
        <v>833</v>
      </c>
      <c r="K271">
        <v>8.6624999999999996</v>
      </c>
      <c r="M271" t="s">
        <v>15</v>
      </c>
      <c r="N271" t="s">
        <v>952</v>
      </c>
      <c r="O271" t="s">
        <v>960</v>
      </c>
      <c r="P271" t="s">
        <v>960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5327-4704-4BEC-AB6F-6A9019853084}">
  <dimension ref="A3:B7"/>
  <sheetViews>
    <sheetView workbookViewId="0">
      <selection activeCell="A3" sqref="A3"/>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t="s">
        <v>12</v>
      </c>
      <c r="B4">
        <v>46</v>
      </c>
    </row>
    <row r="5" spans="1:2" x14ac:dyDescent="0.35">
      <c r="A5" s="3" t="s">
        <v>23</v>
      </c>
      <c r="B5">
        <v>102</v>
      </c>
    </row>
    <row r="6" spans="1:2" x14ac:dyDescent="0.35">
      <c r="A6" s="3" t="s">
        <v>15</v>
      </c>
      <c r="B6">
        <v>270</v>
      </c>
    </row>
    <row r="7" spans="1:2" x14ac:dyDescent="0.35">
      <c r="A7" s="3" t="s">
        <v>946</v>
      </c>
      <c r="B7">
        <v>418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BB7B6-6579-4EDE-AB6C-416F9E398FFE}">
  <dimension ref="A3:D14"/>
  <sheetViews>
    <sheetView workbookViewId="0">
      <selection activeCell="A14" sqref="A14"/>
    </sheetView>
  </sheetViews>
  <sheetFormatPr defaultRowHeight="14.5" x14ac:dyDescent="0.35"/>
  <cols>
    <col min="1" max="1" width="19.453125" bestFit="1" customWidth="1"/>
    <col min="2" max="2" width="15.26953125" bestFit="1" customWidth="1"/>
    <col min="3" max="3" width="4.90625" bestFit="1" customWidth="1"/>
    <col min="4" max="5" width="10.7265625" bestFit="1" customWidth="1"/>
  </cols>
  <sheetData>
    <row r="3" spans="1:4" x14ac:dyDescent="0.35">
      <c r="A3" s="2" t="s">
        <v>947</v>
      </c>
      <c r="B3" s="2" t="s">
        <v>953</v>
      </c>
    </row>
    <row r="4" spans="1:4" x14ac:dyDescent="0.35">
      <c r="A4" s="2" t="s">
        <v>945</v>
      </c>
      <c r="B4" t="s">
        <v>14</v>
      </c>
      <c r="C4" t="s">
        <v>11</v>
      </c>
      <c r="D4" t="s">
        <v>946</v>
      </c>
    </row>
    <row r="5" spans="1:4" x14ac:dyDescent="0.35">
      <c r="A5" s="3">
        <v>1</v>
      </c>
      <c r="B5">
        <v>50</v>
      </c>
      <c r="C5">
        <v>57</v>
      </c>
      <c r="D5">
        <v>107</v>
      </c>
    </row>
    <row r="6" spans="1:4" x14ac:dyDescent="0.35">
      <c r="A6" s="3">
        <v>2</v>
      </c>
      <c r="B6">
        <v>30</v>
      </c>
      <c r="C6">
        <v>63</v>
      </c>
      <c r="D6">
        <v>93</v>
      </c>
    </row>
    <row r="7" spans="1:4" x14ac:dyDescent="0.35">
      <c r="A7" s="3">
        <v>3</v>
      </c>
      <c r="B7">
        <v>72</v>
      </c>
      <c r="C7">
        <v>146</v>
      </c>
      <c r="D7">
        <v>218</v>
      </c>
    </row>
    <row r="8" spans="1:4" x14ac:dyDescent="0.35">
      <c r="A8" s="3" t="s">
        <v>946</v>
      </c>
      <c r="B8">
        <v>152</v>
      </c>
      <c r="C8">
        <v>266</v>
      </c>
      <c r="D8">
        <v>418</v>
      </c>
    </row>
    <row r="14" spans="1:4" x14ac:dyDescent="0.35">
      <c r="A14" t="s">
        <v>961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9B62-5C86-445D-84B2-913F2309F175}">
  <dimension ref="A3:B6"/>
  <sheetViews>
    <sheetView workbookViewId="0">
      <selection activeCell="L7" sqref="L7"/>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v>0</v>
      </c>
      <c r="B4">
        <v>266</v>
      </c>
    </row>
    <row r="5" spans="1:2" x14ac:dyDescent="0.35">
      <c r="A5" s="3">
        <v>1</v>
      </c>
      <c r="B5">
        <v>152</v>
      </c>
    </row>
    <row r="6" spans="1:2" x14ac:dyDescent="0.35">
      <c r="A6" s="3" t="s">
        <v>946</v>
      </c>
      <c r="B6">
        <v>418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CD45-29C3-4601-9ED2-472F59516980}">
  <dimension ref="A3:B6"/>
  <sheetViews>
    <sheetView workbookViewId="0">
      <selection activeCell="K5" sqref="K5"/>
    </sheetView>
  </sheetViews>
  <sheetFormatPr defaultRowHeight="14.5" x14ac:dyDescent="0.35"/>
  <cols>
    <col min="1" max="1" width="12.36328125" bestFit="1" customWidth="1"/>
    <col min="2" max="2" width="14.26953125" bestFit="1" customWidth="1"/>
  </cols>
  <sheetData>
    <row r="3" spans="1:2" x14ac:dyDescent="0.35">
      <c r="A3" s="2" t="s">
        <v>945</v>
      </c>
      <c r="B3" t="s">
        <v>958</v>
      </c>
    </row>
    <row r="4" spans="1:2" x14ac:dyDescent="0.35">
      <c r="A4" s="3" t="s">
        <v>14</v>
      </c>
      <c r="B4">
        <v>152</v>
      </c>
    </row>
    <row r="5" spans="1:2" x14ac:dyDescent="0.35">
      <c r="A5" s="3" t="s">
        <v>11</v>
      </c>
      <c r="B5">
        <v>0</v>
      </c>
    </row>
    <row r="6" spans="1:2" x14ac:dyDescent="0.35">
      <c r="A6" s="3" t="s">
        <v>946</v>
      </c>
      <c r="B6">
        <v>152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EA036-CCB4-4D0D-9AF8-3EC8540CC6B2}">
  <dimension ref="A3:B7"/>
  <sheetViews>
    <sheetView workbookViewId="0">
      <selection activeCell="K7" sqref="K7"/>
    </sheetView>
  </sheetViews>
  <sheetFormatPr defaultRowHeight="14.5" x14ac:dyDescent="0.35"/>
  <cols>
    <col min="1" max="1" width="12.36328125" bestFit="1" customWidth="1"/>
    <col min="2" max="2" width="14.26953125" bestFit="1" customWidth="1"/>
  </cols>
  <sheetData>
    <row r="3" spans="1:2" x14ac:dyDescent="0.35">
      <c r="A3" s="2" t="s">
        <v>945</v>
      </c>
      <c r="B3" t="s">
        <v>958</v>
      </c>
    </row>
    <row r="4" spans="1:2" x14ac:dyDescent="0.35">
      <c r="A4" s="3">
        <v>1</v>
      </c>
      <c r="B4">
        <v>50</v>
      </c>
    </row>
    <row r="5" spans="1:2" x14ac:dyDescent="0.35">
      <c r="A5" s="3">
        <v>2</v>
      </c>
      <c r="B5">
        <v>30</v>
      </c>
    </row>
    <row r="6" spans="1:2" x14ac:dyDescent="0.35">
      <c r="A6" s="3">
        <v>3</v>
      </c>
      <c r="B6">
        <v>72</v>
      </c>
    </row>
    <row r="7" spans="1:2" x14ac:dyDescent="0.35">
      <c r="A7" s="3" t="s">
        <v>946</v>
      </c>
      <c r="B7">
        <v>152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ECD99-04E4-42CA-98E4-04C6A528EF67}">
  <dimension ref="A3:B8"/>
  <sheetViews>
    <sheetView workbookViewId="0">
      <selection activeCell="L8" sqref="L8"/>
    </sheetView>
  </sheetViews>
  <sheetFormatPr defaultRowHeight="14.5" x14ac:dyDescent="0.35"/>
  <cols>
    <col min="1" max="1" width="12.36328125" bestFit="1" customWidth="1"/>
    <col min="2" max="2" width="14.26953125" bestFit="1" customWidth="1"/>
  </cols>
  <sheetData>
    <row r="3" spans="1:2" x14ac:dyDescent="0.35">
      <c r="A3" s="2" t="s">
        <v>945</v>
      </c>
      <c r="B3" t="s">
        <v>958</v>
      </c>
    </row>
    <row r="4" spans="1:2" x14ac:dyDescent="0.35">
      <c r="A4" s="3" t="s">
        <v>948</v>
      </c>
      <c r="B4">
        <v>74</v>
      </c>
    </row>
    <row r="5" spans="1:2" x14ac:dyDescent="0.35">
      <c r="A5" s="3" t="s">
        <v>949</v>
      </c>
      <c r="B5">
        <v>7</v>
      </c>
    </row>
    <row r="6" spans="1:2" x14ac:dyDescent="0.35">
      <c r="A6" s="3" t="s">
        <v>950</v>
      </c>
      <c r="B6">
        <v>17</v>
      </c>
    </row>
    <row r="7" spans="1:2" x14ac:dyDescent="0.35">
      <c r="A7" s="3" t="s">
        <v>951</v>
      </c>
      <c r="B7">
        <v>54</v>
      </c>
    </row>
    <row r="8" spans="1:2" x14ac:dyDescent="0.35">
      <c r="A8" s="3" t="s">
        <v>946</v>
      </c>
      <c r="B8">
        <v>152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6025-6318-4AC6-ABDB-EAC65B208A6F}">
  <dimension ref="A3:B7"/>
  <sheetViews>
    <sheetView workbookViewId="0">
      <selection activeCell="B4" sqref="B4"/>
    </sheetView>
  </sheetViews>
  <sheetFormatPr defaultRowHeight="14.5" x14ac:dyDescent="0.35"/>
  <cols>
    <col min="1" max="1" width="12.36328125" bestFit="1" customWidth="1"/>
    <col min="2" max="2" width="14.26953125" bestFit="1" customWidth="1"/>
  </cols>
  <sheetData>
    <row r="3" spans="1:2" x14ac:dyDescent="0.35">
      <c r="A3" s="2" t="s">
        <v>945</v>
      </c>
      <c r="B3" t="s">
        <v>958</v>
      </c>
    </row>
    <row r="4" spans="1:2" x14ac:dyDescent="0.35">
      <c r="A4" s="3" t="s">
        <v>23</v>
      </c>
      <c r="B4">
        <v>40</v>
      </c>
    </row>
    <row r="5" spans="1:2" x14ac:dyDescent="0.35">
      <c r="A5" s="3" t="s">
        <v>12</v>
      </c>
      <c r="B5">
        <v>24</v>
      </c>
    </row>
    <row r="6" spans="1:2" x14ac:dyDescent="0.35">
      <c r="A6" s="3" t="s">
        <v>15</v>
      </c>
      <c r="B6">
        <v>88</v>
      </c>
    </row>
    <row r="7" spans="1:2" x14ac:dyDescent="0.35">
      <c r="A7" s="3" t="s">
        <v>946</v>
      </c>
      <c r="B7">
        <v>152</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CCC7-D45E-4FB1-9073-8253C12D3805}">
  <dimension ref="A3:B13"/>
  <sheetViews>
    <sheetView workbookViewId="0">
      <selection activeCell="M9" sqref="M9"/>
    </sheetView>
  </sheetViews>
  <sheetFormatPr defaultRowHeight="14.5" x14ac:dyDescent="0.35"/>
  <cols>
    <col min="1" max="1" width="12.36328125" bestFit="1" customWidth="1"/>
    <col min="2" max="2" width="17.453125" bestFit="1" customWidth="1"/>
  </cols>
  <sheetData>
    <row r="3" spans="1:2" x14ac:dyDescent="0.35">
      <c r="A3" s="2" t="s">
        <v>945</v>
      </c>
      <c r="B3" t="s">
        <v>959</v>
      </c>
    </row>
    <row r="4" spans="1:2" x14ac:dyDescent="0.35">
      <c r="A4" s="3">
        <v>1</v>
      </c>
      <c r="B4" s="5">
        <v>0.46728971962616822</v>
      </c>
    </row>
    <row r="5" spans="1:2" x14ac:dyDescent="0.35">
      <c r="A5" s="4" t="s">
        <v>14</v>
      </c>
      <c r="B5" s="5">
        <v>1</v>
      </c>
    </row>
    <row r="6" spans="1:2" x14ac:dyDescent="0.35">
      <c r="A6" s="4" t="s">
        <v>11</v>
      </c>
      <c r="B6" s="5">
        <v>0</v>
      </c>
    </row>
    <row r="7" spans="1:2" x14ac:dyDescent="0.35">
      <c r="A7" s="3">
        <v>2</v>
      </c>
      <c r="B7" s="5">
        <v>0.32258064516129031</v>
      </c>
    </row>
    <row r="8" spans="1:2" x14ac:dyDescent="0.35">
      <c r="A8" s="4" t="s">
        <v>14</v>
      </c>
      <c r="B8" s="5">
        <v>1</v>
      </c>
    </row>
    <row r="9" spans="1:2" x14ac:dyDescent="0.35">
      <c r="A9" s="4" t="s">
        <v>11</v>
      </c>
      <c r="B9" s="5">
        <v>0</v>
      </c>
    </row>
    <row r="10" spans="1:2" x14ac:dyDescent="0.35">
      <c r="A10" s="3">
        <v>3</v>
      </c>
      <c r="B10" s="5">
        <v>0.33027522935779818</v>
      </c>
    </row>
    <row r="11" spans="1:2" x14ac:dyDescent="0.35">
      <c r="A11" s="4" t="s">
        <v>14</v>
      </c>
      <c r="B11" s="5">
        <v>1</v>
      </c>
    </row>
    <row r="12" spans="1:2" x14ac:dyDescent="0.35">
      <c r="A12" s="4" t="s">
        <v>11</v>
      </c>
      <c r="B12" s="5">
        <v>0</v>
      </c>
    </row>
    <row r="13" spans="1:2" x14ac:dyDescent="0.35">
      <c r="A13" s="3" t="s">
        <v>946</v>
      </c>
      <c r="B13" s="5">
        <v>0.36363636363636365</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2439-9D0E-457C-966A-F719906B59CE}">
  <dimension ref="A3:B16"/>
  <sheetViews>
    <sheetView workbookViewId="0">
      <selection activeCell="L14" sqref="L14"/>
    </sheetView>
  </sheetViews>
  <sheetFormatPr defaultRowHeight="14.5" x14ac:dyDescent="0.35"/>
  <cols>
    <col min="1" max="1" width="12.36328125" bestFit="1" customWidth="1"/>
    <col min="2" max="2" width="17.453125" bestFit="1" customWidth="1"/>
  </cols>
  <sheetData>
    <row r="3" spans="1:2" x14ac:dyDescent="0.35">
      <c r="A3" s="2" t="s">
        <v>945</v>
      </c>
      <c r="B3" t="s">
        <v>959</v>
      </c>
    </row>
    <row r="4" spans="1:2" x14ac:dyDescent="0.35">
      <c r="A4" s="3" t="s">
        <v>948</v>
      </c>
      <c r="B4" s="5">
        <v>0.33789954337899542</v>
      </c>
    </row>
    <row r="5" spans="1:2" x14ac:dyDescent="0.35">
      <c r="A5" s="4" t="s">
        <v>14</v>
      </c>
      <c r="B5" s="5">
        <v>1</v>
      </c>
    </row>
    <row r="6" spans="1:2" x14ac:dyDescent="0.35">
      <c r="A6" s="4" t="s">
        <v>11</v>
      </c>
      <c r="B6" s="5">
        <v>0</v>
      </c>
    </row>
    <row r="7" spans="1:2" x14ac:dyDescent="0.35">
      <c r="A7" s="3" t="s">
        <v>949</v>
      </c>
      <c r="B7" s="5">
        <v>0.5</v>
      </c>
    </row>
    <row r="8" spans="1:2" x14ac:dyDescent="0.35">
      <c r="A8" s="4" t="s">
        <v>14</v>
      </c>
      <c r="B8" s="5">
        <v>1</v>
      </c>
    </row>
    <row r="9" spans="1:2" x14ac:dyDescent="0.35">
      <c r="A9" s="4" t="s">
        <v>11</v>
      </c>
      <c r="B9" s="5">
        <v>0</v>
      </c>
    </row>
    <row r="10" spans="1:2" x14ac:dyDescent="0.35">
      <c r="A10" s="3" t="s">
        <v>950</v>
      </c>
      <c r="B10" s="5">
        <v>0.41463414634146339</v>
      </c>
    </row>
    <row r="11" spans="1:2" x14ac:dyDescent="0.35">
      <c r="A11" s="4" t="s">
        <v>14</v>
      </c>
      <c r="B11" s="5">
        <v>1</v>
      </c>
    </row>
    <row r="12" spans="1:2" x14ac:dyDescent="0.35">
      <c r="A12" s="4" t="s">
        <v>11</v>
      </c>
      <c r="B12" s="5">
        <v>0</v>
      </c>
    </row>
    <row r="13" spans="1:2" x14ac:dyDescent="0.35">
      <c r="A13" s="3" t="s">
        <v>951</v>
      </c>
      <c r="B13" s="5">
        <v>0.375</v>
      </c>
    </row>
    <row r="14" spans="1:2" x14ac:dyDescent="0.35">
      <c r="A14" s="4" t="s">
        <v>14</v>
      </c>
      <c r="B14" s="5">
        <v>1</v>
      </c>
    </row>
    <row r="15" spans="1:2" x14ac:dyDescent="0.35">
      <c r="A15" s="4" t="s">
        <v>11</v>
      </c>
      <c r="B15" s="5">
        <v>0</v>
      </c>
    </row>
    <row r="16" spans="1:2" x14ac:dyDescent="0.35">
      <c r="A16" s="3" t="s">
        <v>946</v>
      </c>
      <c r="B16" s="5">
        <v>0.36363636363636365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7D1D-9E5F-4E42-8689-8812CC5EEE8F}">
  <dimension ref="A3:C20"/>
  <sheetViews>
    <sheetView workbookViewId="0">
      <selection activeCell="F6" sqref="F6"/>
    </sheetView>
  </sheetViews>
  <sheetFormatPr defaultRowHeight="14.5" x14ac:dyDescent="0.35"/>
  <sheetData>
    <row r="3" spans="1:3" x14ac:dyDescent="0.35">
      <c r="A3" s="9"/>
      <c r="B3" s="10"/>
      <c r="C3" s="11"/>
    </row>
    <row r="4" spans="1:3" x14ac:dyDescent="0.35">
      <c r="A4" s="12"/>
      <c r="B4" s="1"/>
      <c r="C4" s="13"/>
    </row>
    <row r="5" spans="1:3" x14ac:dyDescent="0.35">
      <c r="A5" s="12"/>
      <c r="B5" s="1"/>
      <c r="C5" s="13"/>
    </row>
    <row r="6" spans="1:3" x14ac:dyDescent="0.35">
      <c r="A6" s="12"/>
      <c r="B6" s="1"/>
      <c r="C6" s="13"/>
    </row>
    <row r="7" spans="1:3" x14ac:dyDescent="0.35">
      <c r="A7" s="12"/>
      <c r="B7" s="1"/>
      <c r="C7" s="13"/>
    </row>
    <row r="8" spans="1:3" x14ac:dyDescent="0.35">
      <c r="A8" s="12"/>
      <c r="B8" s="1"/>
      <c r="C8" s="13"/>
    </row>
    <row r="9" spans="1:3" x14ac:dyDescent="0.35">
      <c r="A9" s="12"/>
      <c r="B9" s="1"/>
      <c r="C9" s="13"/>
    </row>
    <row r="10" spans="1:3" x14ac:dyDescent="0.35">
      <c r="A10" s="12"/>
      <c r="B10" s="1"/>
      <c r="C10" s="13"/>
    </row>
    <row r="11" spans="1:3" x14ac:dyDescent="0.35">
      <c r="A11" s="12"/>
      <c r="B11" s="1"/>
      <c r="C11" s="13"/>
    </row>
    <row r="12" spans="1:3" x14ac:dyDescent="0.35">
      <c r="A12" s="12"/>
      <c r="B12" s="1"/>
      <c r="C12" s="13"/>
    </row>
    <row r="13" spans="1:3" x14ac:dyDescent="0.35">
      <c r="A13" s="12"/>
      <c r="B13" s="1"/>
      <c r="C13" s="13"/>
    </row>
    <row r="14" spans="1:3" x14ac:dyDescent="0.35">
      <c r="A14" s="12"/>
      <c r="B14" s="1"/>
      <c r="C14" s="13"/>
    </row>
    <row r="15" spans="1:3" x14ac:dyDescent="0.35">
      <c r="A15" s="12"/>
      <c r="B15" s="1"/>
      <c r="C15" s="13"/>
    </row>
    <row r="16" spans="1:3" x14ac:dyDescent="0.35">
      <c r="A16" s="12"/>
      <c r="B16" s="1"/>
      <c r="C16" s="13"/>
    </row>
    <row r="17" spans="1:3" x14ac:dyDescent="0.35">
      <c r="A17" s="12"/>
      <c r="B17" s="1"/>
      <c r="C17" s="13"/>
    </row>
    <row r="18" spans="1:3" x14ac:dyDescent="0.35">
      <c r="A18" s="12"/>
      <c r="B18" s="1"/>
      <c r="C18" s="13"/>
    </row>
    <row r="19" spans="1:3" x14ac:dyDescent="0.35">
      <c r="A19" s="12"/>
      <c r="B19" s="1"/>
      <c r="C19" s="13"/>
    </row>
    <row r="20" spans="1:3" x14ac:dyDescent="0.35">
      <c r="A20" s="14"/>
      <c r="B20" s="15"/>
      <c r="C20" s="1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53BF-7ECB-492C-B88E-96D8468753CB}">
  <dimension ref="A1:P42"/>
  <sheetViews>
    <sheetView workbookViewId="0">
      <selection activeCell="K7" sqref="K7"/>
    </sheetView>
  </sheetViews>
  <sheetFormatPr defaultRowHeight="14.5" x14ac:dyDescent="0.35"/>
  <cols>
    <col min="1" max="1" width="13.54296875" customWidth="1"/>
    <col min="2" max="2" width="9.90625" customWidth="1"/>
    <col min="6" max="6" width="12.36328125" customWidth="1"/>
    <col min="8" max="8" width="18.453125" customWidth="1"/>
    <col min="13" max="13" width="11.36328125" customWidth="1"/>
    <col min="15" max="15" width="13.81640625" customWidth="1"/>
    <col min="16" max="16" width="15.36328125" customWidth="1"/>
  </cols>
  <sheetData>
    <row r="1" spans="1:16" x14ac:dyDescent="0.35">
      <c r="A1" t="s">
        <v>607</v>
      </c>
      <c r="B1" t="s">
        <v>0</v>
      </c>
      <c r="C1" t="s">
        <v>1</v>
      </c>
      <c r="D1" t="s">
        <v>2</v>
      </c>
      <c r="E1" t="s">
        <v>3</v>
      </c>
      <c r="F1" t="s">
        <v>944</v>
      </c>
      <c r="G1" t="s">
        <v>4</v>
      </c>
      <c r="H1" t="s">
        <v>608</v>
      </c>
      <c r="I1" t="s">
        <v>5</v>
      </c>
      <c r="J1" t="s">
        <v>6</v>
      </c>
      <c r="K1" t="s">
        <v>7</v>
      </c>
      <c r="L1" t="s">
        <v>8</v>
      </c>
      <c r="M1" t="s">
        <v>9</v>
      </c>
      <c r="N1" t="s">
        <v>941</v>
      </c>
      <c r="O1" t="s">
        <v>942</v>
      </c>
      <c r="P1" t="s">
        <v>943</v>
      </c>
    </row>
    <row r="2" spans="1:16" x14ac:dyDescent="0.35">
      <c r="A2">
        <v>1301</v>
      </c>
      <c r="B2">
        <v>1</v>
      </c>
      <c r="C2">
        <v>3</v>
      </c>
      <c r="D2" t="s">
        <v>594</v>
      </c>
      <c r="E2" t="s">
        <v>14</v>
      </c>
      <c r="F2" t="s">
        <v>950</v>
      </c>
      <c r="G2">
        <v>3</v>
      </c>
      <c r="H2">
        <v>1</v>
      </c>
      <c r="I2">
        <v>1</v>
      </c>
      <c r="J2" t="s">
        <v>754</v>
      </c>
      <c r="K2">
        <v>13.775</v>
      </c>
      <c r="M2" t="s">
        <v>15</v>
      </c>
      <c r="N2" t="s">
        <v>952</v>
      </c>
      <c r="O2" t="s">
        <v>952</v>
      </c>
      <c r="P2" t="s">
        <v>952</v>
      </c>
    </row>
    <row r="3" spans="1:16" x14ac:dyDescent="0.35">
      <c r="A3">
        <v>1295</v>
      </c>
      <c r="B3">
        <v>0</v>
      </c>
      <c r="C3">
        <v>1</v>
      </c>
      <c r="D3" t="s">
        <v>585</v>
      </c>
      <c r="E3" t="s">
        <v>11</v>
      </c>
      <c r="F3" t="s">
        <v>950</v>
      </c>
      <c r="G3">
        <v>17</v>
      </c>
      <c r="H3">
        <v>0</v>
      </c>
      <c r="I3">
        <v>0</v>
      </c>
      <c r="J3" t="s">
        <v>929</v>
      </c>
      <c r="K3">
        <v>47.1</v>
      </c>
      <c r="M3" t="s">
        <v>15</v>
      </c>
      <c r="N3" t="s">
        <v>952</v>
      </c>
      <c r="O3" t="s">
        <v>960</v>
      </c>
      <c r="P3" t="s">
        <v>960</v>
      </c>
    </row>
    <row r="4" spans="1:16" x14ac:dyDescent="0.35">
      <c r="A4">
        <v>1284</v>
      </c>
      <c r="B4">
        <v>0</v>
      </c>
      <c r="C4">
        <v>3</v>
      </c>
      <c r="D4" t="s">
        <v>570</v>
      </c>
      <c r="E4" t="s">
        <v>11</v>
      </c>
      <c r="F4" t="s">
        <v>950</v>
      </c>
      <c r="G4">
        <v>13</v>
      </c>
      <c r="H4">
        <v>0</v>
      </c>
      <c r="I4">
        <v>2</v>
      </c>
      <c r="J4" t="s">
        <v>571</v>
      </c>
      <c r="K4">
        <v>20.25</v>
      </c>
      <c r="M4" t="s">
        <v>15</v>
      </c>
      <c r="N4" t="s">
        <v>952</v>
      </c>
      <c r="O4" t="s">
        <v>960</v>
      </c>
      <c r="P4" t="s">
        <v>952</v>
      </c>
    </row>
    <row r="5" spans="1:16" x14ac:dyDescent="0.35">
      <c r="A5">
        <v>1281</v>
      </c>
      <c r="B5">
        <v>0</v>
      </c>
      <c r="C5">
        <v>3</v>
      </c>
      <c r="D5" t="s">
        <v>564</v>
      </c>
      <c r="E5" t="s">
        <v>11</v>
      </c>
      <c r="F5" t="s">
        <v>950</v>
      </c>
      <c r="G5">
        <v>6</v>
      </c>
      <c r="H5">
        <v>3</v>
      </c>
      <c r="I5">
        <v>1</v>
      </c>
      <c r="J5" t="s">
        <v>922</v>
      </c>
      <c r="K5">
        <v>21.074999999999999</v>
      </c>
      <c r="M5" t="s">
        <v>15</v>
      </c>
      <c r="N5" t="s">
        <v>952</v>
      </c>
      <c r="O5" t="s">
        <v>952</v>
      </c>
      <c r="P5" t="s">
        <v>952</v>
      </c>
    </row>
    <row r="6" spans="1:16" x14ac:dyDescent="0.35">
      <c r="A6">
        <v>1271</v>
      </c>
      <c r="B6">
        <v>0</v>
      </c>
      <c r="C6">
        <v>3</v>
      </c>
      <c r="D6" t="s">
        <v>553</v>
      </c>
      <c r="E6" t="s">
        <v>11</v>
      </c>
      <c r="F6" t="s">
        <v>950</v>
      </c>
      <c r="G6">
        <v>5</v>
      </c>
      <c r="H6">
        <v>4</v>
      </c>
      <c r="I6">
        <v>2</v>
      </c>
      <c r="J6" t="s">
        <v>751</v>
      </c>
      <c r="K6">
        <v>31.387499999999999</v>
      </c>
      <c r="M6" t="s">
        <v>15</v>
      </c>
      <c r="N6" t="s">
        <v>952</v>
      </c>
      <c r="O6" t="s">
        <v>952</v>
      </c>
      <c r="P6" t="s">
        <v>952</v>
      </c>
    </row>
    <row r="7" spans="1:16" x14ac:dyDescent="0.35">
      <c r="A7">
        <v>897</v>
      </c>
      <c r="B7">
        <v>0</v>
      </c>
      <c r="C7">
        <v>3</v>
      </c>
      <c r="D7" t="s">
        <v>19</v>
      </c>
      <c r="E7" t="s">
        <v>11</v>
      </c>
      <c r="F7" t="s">
        <v>950</v>
      </c>
      <c r="G7">
        <v>14</v>
      </c>
      <c r="H7">
        <v>0</v>
      </c>
      <c r="I7">
        <v>0</v>
      </c>
      <c r="J7" t="s">
        <v>624</v>
      </c>
      <c r="K7">
        <v>9.2249999999999996</v>
      </c>
      <c r="M7" t="s">
        <v>15</v>
      </c>
      <c r="N7" t="s">
        <v>952</v>
      </c>
      <c r="O7" t="s">
        <v>960</v>
      </c>
      <c r="P7" t="s">
        <v>960</v>
      </c>
    </row>
    <row r="8" spans="1:16" x14ac:dyDescent="0.35">
      <c r="A8">
        <v>1252</v>
      </c>
      <c r="B8">
        <v>0</v>
      </c>
      <c r="C8">
        <v>3</v>
      </c>
      <c r="D8" t="s">
        <v>528</v>
      </c>
      <c r="E8" t="s">
        <v>11</v>
      </c>
      <c r="F8" t="s">
        <v>950</v>
      </c>
      <c r="G8">
        <v>14.5</v>
      </c>
      <c r="H8">
        <v>8</v>
      </c>
      <c r="I8">
        <v>2</v>
      </c>
      <c r="J8" t="s">
        <v>774</v>
      </c>
      <c r="K8">
        <v>69.55</v>
      </c>
      <c r="M8" t="s">
        <v>15</v>
      </c>
      <c r="N8" t="s">
        <v>952</v>
      </c>
      <c r="O8" t="s">
        <v>952</v>
      </c>
      <c r="P8" t="s">
        <v>952</v>
      </c>
    </row>
    <row r="9" spans="1:16" x14ac:dyDescent="0.35">
      <c r="A9">
        <v>1246</v>
      </c>
      <c r="B9">
        <v>1</v>
      </c>
      <c r="C9">
        <v>3</v>
      </c>
      <c r="D9" t="s">
        <v>521</v>
      </c>
      <c r="E9" t="s">
        <v>14</v>
      </c>
      <c r="F9" t="s">
        <v>950</v>
      </c>
      <c r="G9">
        <v>0.17</v>
      </c>
      <c r="H9">
        <v>1</v>
      </c>
      <c r="I9">
        <v>2</v>
      </c>
      <c r="J9" t="s">
        <v>65</v>
      </c>
      <c r="K9">
        <v>20.574999999999999</v>
      </c>
      <c r="M9" t="s">
        <v>15</v>
      </c>
      <c r="N9" t="s">
        <v>952</v>
      </c>
      <c r="O9" t="s">
        <v>952</v>
      </c>
      <c r="P9" t="s">
        <v>952</v>
      </c>
    </row>
    <row r="10" spans="1:16" x14ac:dyDescent="0.35">
      <c r="A10">
        <v>1237</v>
      </c>
      <c r="B10">
        <v>1</v>
      </c>
      <c r="C10">
        <v>3</v>
      </c>
      <c r="D10" t="s">
        <v>508</v>
      </c>
      <c r="E10" t="s">
        <v>14</v>
      </c>
      <c r="F10" t="s">
        <v>950</v>
      </c>
      <c r="G10">
        <v>16</v>
      </c>
      <c r="H10">
        <v>0</v>
      </c>
      <c r="I10">
        <v>0</v>
      </c>
      <c r="J10" t="s">
        <v>891</v>
      </c>
      <c r="K10">
        <v>7.65</v>
      </c>
      <c r="M10" t="s">
        <v>15</v>
      </c>
      <c r="N10" t="s">
        <v>952</v>
      </c>
      <c r="O10" t="s">
        <v>960</v>
      </c>
      <c r="P10" t="s">
        <v>960</v>
      </c>
    </row>
    <row r="11" spans="1:16" x14ac:dyDescent="0.35">
      <c r="A11">
        <v>1218</v>
      </c>
      <c r="B11">
        <v>1</v>
      </c>
      <c r="C11">
        <v>2</v>
      </c>
      <c r="D11" t="s">
        <v>482</v>
      </c>
      <c r="E11" t="s">
        <v>14</v>
      </c>
      <c r="F11" t="s">
        <v>950</v>
      </c>
      <c r="G11">
        <v>12</v>
      </c>
      <c r="H11">
        <v>2</v>
      </c>
      <c r="I11">
        <v>1</v>
      </c>
      <c r="J11" t="s">
        <v>767</v>
      </c>
      <c r="K11">
        <v>39</v>
      </c>
      <c r="L11" t="s">
        <v>270</v>
      </c>
      <c r="M11" t="s">
        <v>15</v>
      </c>
      <c r="N11" t="s">
        <v>952</v>
      </c>
      <c r="O11" t="s">
        <v>952</v>
      </c>
      <c r="P11" t="s">
        <v>952</v>
      </c>
    </row>
    <row r="12" spans="1:16" x14ac:dyDescent="0.35">
      <c r="A12">
        <v>1207</v>
      </c>
      <c r="B12">
        <v>1</v>
      </c>
      <c r="C12">
        <v>3</v>
      </c>
      <c r="D12" t="s">
        <v>465</v>
      </c>
      <c r="E12" t="s">
        <v>14</v>
      </c>
      <c r="F12" t="s">
        <v>950</v>
      </c>
      <c r="G12">
        <v>17</v>
      </c>
      <c r="H12">
        <v>0</v>
      </c>
      <c r="I12">
        <v>0</v>
      </c>
      <c r="J12" t="s">
        <v>868</v>
      </c>
      <c r="K12">
        <v>7.7332999999999998</v>
      </c>
      <c r="M12" t="s">
        <v>12</v>
      </c>
      <c r="N12" t="s">
        <v>952</v>
      </c>
      <c r="O12" t="s">
        <v>960</v>
      </c>
      <c r="P12" t="s">
        <v>960</v>
      </c>
    </row>
    <row r="13" spans="1:16" x14ac:dyDescent="0.35">
      <c r="A13">
        <v>1199</v>
      </c>
      <c r="B13">
        <v>0</v>
      </c>
      <c r="C13">
        <v>3</v>
      </c>
      <c r="D13" t="s">
        <v>453</v>
      </c>
      <c r="E13" t="s">
        <v>11</v>
      </c>
      <c r="F13" t="s">
        <v>950</v>
      </c>
      <c r="G13">
        <v>0.83</v>
      </c>
      <c r="H13">
        <v>0</v>
      </c>
      <c r="I13">
        <v>1</v>
      </c>
      <c r="J13" t="s">
        <v>860</v>
      </c>
      <c r="K13">
        <v>9.35</v>
      </c>
      <c r="M13" t="s">
        <v>15</v>
      </c>
      <c r="N13" t="s">
        <v>952</v>
      </c>
      <c r="O13" t="s">
        <v>960</v>
      </c>
      <c r="P13" t="s">
        <v>952</v>
      </c>
    </row>
    <row r="14" spans="1:16" x14ac:dyDescent="0.35">
      <c r="A14">
        <v>1188</v>
      </c>
      <c r="B14">
        <v>1</v>
      </c>
      <c r="C14">
        <v>2</v>
      </c>
      <c r="D14" t="s">
        <v>438</v>
      </c>
      <c r="E14" t="s">
        <v>14</v>
      </c>
      <c r="F14" t="s">
        <v>950</v>
      </c>
      <c r="G14">
        <v>1</v>
      </c>
      <c r="H14">
        <v>1</v>
      </c>
      <c r="I14">
        <v>2</v>
      </c>
      <c r="J14" t="s">
        <v>852</v>
      </c>
      <c r="K14">
        <v>41.5792</v>
      </c>
      <c r="M14" t="s">
        <v>23</v>
      </c>
      <c r="N14" t="s">
        <v>952</v>
      </c>
      <c r="O14" t="s">
        <v>952</v>
      </c>
      <c r="P14" t="s">
        <v>952</v>
      </c>
    </row>
    <row r="15" spans="1:16" x14ac:dyDescent="0.35">
      <c r="A15">
        <v>1176</v>
      </c>
      <c r="B15">
        <v>1</v>
      </c>
      <c r="C15">
        <v>3</v>
      </c>
      <c r="D15" t="s">
        <v>420</v>
      </c>
      <c r="E15" t="s">
        <v>14</v>
      </c>
      <c r="F15" t="s">
        <v>950</v>
      </c>
      <c r="G15">
        <v>2</v>
      </c>
      <c r="H15">
        <v>1</v>
      </c>
      <c r="I15">
        <v>1</v>
      </c>
      <c r="J15" t="s">
        <v>843</v>
      </c>
      <c r="K15">
        <v>20.212499999999999</v>
      </c>
      <c r="M15" t="s">
        <v>15</v>
      </c>
      <c r="N15" t="s">
        <v>952</v>
      </c>
      <c r="O15" t="s">
        <v>952</v>
      </c>
      <c r="P15" t="s">
        <v>952</v>
      </c>
    </row>
    <row r="16" spans="1:16" x14ac:dyDescent="0.35">
      <c r="A16">
        <v>1175</v>
      </c>
      <c r="B16">
        <v>1</v>
      </c>
      <c r="C16">
        <v>3</v>
      </c>
      <c r="D16" t="s">
        <v>419</v>
      </c>
      <c r="E16" t="s">
        <v>14</v>
      </c>
      <c r="F16" t="s">
        <v>950</v>
      </c>
      <c r="G16">
        <v>9</v>
      </c>
      <c r="H16">
        <v>1</v>
      </c>
      <c r="I16">
        <v>1</v>
      </c>
      <c r="J16" t="s">
        <v>756</v>
      </c>
      <c r="K16">
        <v>15.245799999999999</v>
      </c>
      <c r="M16" t="s">
        <v>23</v>
      </c>
      <c r="N16" t="s">
        <v>952</v>
      </c>
      <c r="O16" t="s">
        <v>952</v>
      </c>
      <c r="P16" t="s">
        <v>952</v>
      </c>
    </row>
    <row r="17" spans="1:16" x14ac:dyDescent="0.35">
      <c r="A17">
        <v>1173</v>
      </c>
      <c r="B17">
        <v>0</v>
      </c>
      <c r="C17">
        <v>3</v>
      </c>
      <c r="D17" t="s">
        <v>417</v>
      </c>
      <c r="E17" t="s">
        <v>11</v>
      </c>
      <c r="F17" t="s">
        <v>950</v>
      </c>
      <c r="G17">
        <v>0.75</v>
      </c>
      <c r="H17">
        <v>1</v>
      </c>
      <c r="I17">
        <v>1</v>
      </c>
      <c r="J17" t="s">
        <v>754</v>
      </c>
      <c r="K17">
        <v>13.775</v>
      </c>
      <c r="M17" t="s">
        <v>15</v>
      </c>
      <c r="N17" t="s">
        <v>952</v>
      </c>
      <c r="O17" t="s">
        <v>952</v>
      </c>
      <c r="P17" t="s">
        <v>952</v>
      </c>
    </row>
    <row r="18" spans="1:16" x14ac:dyDescent="0.35">
      <c r="A18">
        <v>1161</v>
      </c>
      <c r="B18">
        <v>0</v>
      </c>
      <c r="C18">
        <v>3</v>
      </c>
      <c r="D18" t="s">
        <v>402</v>
      </c>
      <c r="E18" t="s">
        <v>11</v>
      </c>
      <c r="F18" t="s">
        <v>950</v>
      </c>
      <c r="G18">
        <v>17</v>
      </c>
      <c r="H18">
        <v>0</v>
      </c>
      <c r="I18">
        <v>0</v>
      </c>
      <c r="J18" t="s">
        <v>833</v>
      </c>
      <c r="K18">
        <v>8.6624999999999996</v>
      </c>
      <c r="M18" t="s">
        <v>15</v>
      </c>
      <c r="N18" t="s">
        <v>952</v>
      </c>
      <c r="O18" t="s">
        <v>960</v>
      </c>
      <c r="P18" t="s">
        <v>960</v>
      </c>
    </row>
    <row r="19" spans="1:16" x14ac:dyDescent="0.35">
      <c r="A19">
        <v>1155</v>
      </c>
      <c r="B19">
        <v>1</v>
      </c>
      <c r="C19">
        <v>3</v>
      </c>
      <c r="D19" t="s">
        <v>393</v>
      </c>
      <c r="E19" t="s">
        <v>14</v>
      </c>
      <c r="F19" t="s">
        <v>950</v>
      </c>
      <c r="G19">
        <v>1</v>
      </c>
      <c r="H19">
        <v>1</v>
      </c>
      <c r="I19">
        <v>1</v>
      </c>
      <c r="J19" t="s">
        <v>750</v>
      </c>
      <c r="K19">
        <v>12.183299999999999</v>
      </c>
      <c r="M19" t="s">
        <v>15</v>
      </c>
      <c r="N19" t="s">
        <v>952</v>
      </c>
      <c r="O19" t="s">
        <v>952</v>
      </c>
      <c r="P19" t="s">
        <v>952</v>
      </c>
    </row>
    <row r="20" spans="1:16" x14ac:dyDescent="0.35">
      <c r="A20">
        <v>1142</v>
      </c>
      <c r="B20">
        <v>1</v>
      </c>
      <c r="C20">
        <v>2</v>
      </c>
      <c r="D20" t="s">
        <v>375</v>
      </c>
      <c r="E20" t="s">
        <v>14</v>
      </c>
      <c r="F20" t="s">
        <v>950</v>
      </c>
      <c r="G20">
        <v>0.92</v>
      </c>
      <c r="H20">
        <v>1</v>
      </c>
      <c r="I20">
        <v>2</v>
      </c>
      <c r="J20" t="s">
        <v>376</v>
      </c>
      <c r="K20">
        <v>27.75</v>
      </c>
      <c r="M20" t="s">
        <v>15</v>
      </c>
      <c r="N20" t="s">
        <v>952</v>
      </c>
      <c r="O20" t="s">
        <v>952</v>
      </c>
      <c r="P20" t="s">
        <v>952</v>
      </c>
    </row>
    <row r="21" spans="1:16" x14ac:dyDescent="0.35">
      <c r="A21">
        <v>1122</v>
      </c>
      <c r="B21">
        <v>0</v>
      </c>
      <c r="C21">
        <v>2</v>
      </c>
      <c r="D21" t="s">
        <v>349</v>
      </c>
      <c r="E21" t="s">
        <v>11</v>
      </c>
      <c r="F21" t="s">
        <v>950</v>
      </c>
      <c r="G21">
        <v>14</v>
      </c>
      <c r="H21">
        <v>0</v>
      </c>
      <c r="I21">
        <v>0</v>
      </c>
      <c r="J21" t="s">
        <v>806</v>
      </c>
      <c r="K21">
        <v>65</v>
      </c>
      <c r="M21" t="s">
        <v>15</v>
      </c>
      <c r="N21" t="s">
        <v>952</v>
      </c>
      <c r="O21" t="s">
        <v>960</v>
      </c>
      <c r="P21" t="s">
        <v>960</v>
      </c>
    </row>
    <row r="22" spans="1:16" x14ac:dyDescent="0.35">
      <c r="A22">
        <v>1104</v>
      </c>
      <c r="B22">
        <v>0</v>
      </c>
      <c r="C22">
        <v>2</v>
      </c>
      <c r="D22" t="s">
        <v>323</v>
      </c>
      <c r="E22" t="s">
        <v>11</v>
      </c>
      <c r="F22" t="s">
        <v>950</v>
      </c>
      <c r="G22">
        <v>17</v>
      </c>
      <c r="H22">
        <v>0</v>
      </c>
      <c r="I22">
        <v>0</v>
      </c>
      <c r="J22" t="s">
        <v>324</v>
      </c>
      <c r="K22">
        <v>73.5</v>
      </c>
      <c r="M22" t="s">
        <v>15</v>
      </c>
      <c r="N22" t="s">
        <v>952</v>
      </c>
      <c r="O22" t="s">
        <v>960</v>
      </c>
      <c r="P22" t="s">
        <v>960</v>
      </c>
    </row>
    <row r="23" spans="1:16" x14ac:dyDescent="0.35">
      <c r="A23">
        <v>913</v>
      </c>
      <c r="B23">
        <v>0</v>
      </c>
      <c r="C23">
        <v>3</v>
      </c>
      <c r="D23" t="s">
        <v>43</v>
      </c>
      <c r="E23" t="s">
        <v>11</v>
      </c>
      <c r="F23" t="s">
        <v>950</v>
      </c>
      <c r="G23">
        <v>9</v>
      </c>
      <c r="H23">
        <v>0</v>
      </c>
      <c r="I23">
        <v>1</v>
      </c>
      <c r="J23" t="s">
        <v>44</v>
      </c>
      <c r="K23">
        <v>3.1707999999999998</v>
      </c>
      <c r="M23" t="s">
        <v>15</v>
      </c>
      <c r="N23" t="s">
        <v>952</v>
      </c>
      <c r="O23" t="s">
        <v>960</v>
      </c>
      <c r="P23" t="s">
        <v>952</v>
      </c>
    </row>
    <row r="24" spans="1:16" x14ac:dyDescent="0.35">
      <c r="A24">
        <v>1095</v>
      </c>
      <c r="B24">
        <v>1</v>
      </c>
      <c r="C24">
        <v>2</v>
      </c>
      <c r="D24" t="s">
        <v>309</v>
      </c>
      <c r="E24" t="s">
        <v>14</v>
      </c>
      <c r="F24" t="s">
        <v>950</v>
      </c>
      <c r="G24">
        <v>8</v>
      </c>
      <c r="H24">
        <v>1</v>
      </c>
      <c r="I24">
        <v>1</v>
      </c>
      <c r="J24" t="s">
        <v>787</v>
      </c>
      <c r="K24">
        <v>26</v>
      </c>
      <c r="M24" t="s">
        <v>15</v>
      </c>
      <c r="N24" t="s">
        <v>952</v>
      </c>
      <c r="O24" t="s">
        <v>952</v>
      </c>
      <c r="P24" t="s">
        <v>952</v>
      </c>
    </row>
    <row r="25" spans="1:16" x14ac:dyDescent="0.35">
      <c r="A25">
        <v>1093</v>
      </c>
      <c r="B25">
        <v>0</v>
      </c>
      <c r="C25">
        <v>3</v>
      </c>
      <c r="D25" t="s">
        <v>305</v>
      </c>
      <c r="E25" t="s">
        <v>11</v>
      </c>
      <c r="F25" t="s">
        <v>950</v>
      </c>
      <c r="G25">
        <v>0.33</v>
      </c>
      <c r="H25">
        <v>0</v>
      </c>
      <c r="I25">
        <v>2</v>
      </c>
      <c r="J25" t="s">
        <v>785</v>
      </c>
      <c r="K25">
        <v>14.4</v>
      </c>
      <c r="M25" t="s">
        <v>15</v>
      </c>
      <c r="N25" t="s">
        <v>952</v>
      </c>
      <c r="O25" t="s">
        <v>960</v>
      </c>
      <c r="P25" t="s">
        <v>952</v>
      </c>
    </row>
    <row r="26" spans="1:16" x14ac:dyDescent="0.35">
      <c r="A26">
        <v>1088</v>
      </c>
      <c r="B26">
        <v>0</v>
      </c>
      <c r="C26">
        <v>1</v>
      </c>
      <c r="D26" t="s">
        <v>298</v>
      </c>
      <c r="E26" t="s">
        <v>11</v>
      </c>
      <c r="F26" t="s">
        <v>950</v>
      </c>
      <c r="G26">
        <v>6</v>
      </c>
      <c r="H26">
        <v>0</v>
      </c>
      <c r="I26">
        <v>2</v>
      </c>
      <c r="J26" t="s">
        <v>781</v>
      </c>
      <c r="K26">
        <v>134.5</v>
      </c>
      <c r="L26" t="s">
        <v>299</v>
      </c>
      <c r="M26" t="s">
        <v>23</v>
      </c>
      <c r="N26" t="s">
        <v>952</v>
      </c>
      <c r="O26" t="s">
        <v>960</v>
      </c>
      <c r="P26" t="s">
        <v>952</v>
      </c>
    </row>
    <row r="27" spans="1:16" x14ac:dyDescent="0.35">
      <c r="A27">
        <v>1086</v>
      </c>
      <c r="B27">
        <v>0</v>
      </c>
      <c r="C27">
        <v>2</v>
      </c>
      <c r="D27" t="s">
        <v>296</v>
      </c>
      <c r="E27" t="s">
        <v>11</v>
      </c>
      <c r="F27" t="s">
        <v>950</v>
      </c>
      <c r="G27">
        <v>8</v>
      </c>
      <c r="H27">
        <v>0</v>
      </c>
      <c r="I27">
        <v>2</v>
      </c>
      <c r="J27" t="s">
        <v>779</v>
      </c>
      <c r="K27">
        <v>32.5</v>
      </c>
      <c r="M27" t="s">
        <v>15</v>
      </c>
      <c r="N27" t="s">
        <v>952</v>
      </c>
      <c r="O27" t="s">
        <v>960</v>
      </c>
      <c r="P27" t="s">
        <v>952</v>
      </c>
    </row>
    <row r="28" spans="1:16" x14ac:dyDescent="0.35">
      <c r="A28">
        <v>1084</v>
      </c>
      <c r="B28">
        <v>0</v>
      </c>
      <c r="C28">
        <v>3</v>
      </c>
      <c r="D28" t="s">
        <v>293</v>
      </c>
      <c r="E28" t="s">
        <v>11</v>
      </c>
      <c r="F28" t="s">
        <v>950</v>
      </c>
      <c r="G28">
        <v>11.5</v>
      </c>
      <c r="H28">
        <v>1</v>
      </c>
      <c r="I28">
        <v>1</v>
      </c>
      <c r="J28" t="s">
        <v>294</v>
      </c>
      <c r="K28">
        <v>14.5</v>
      </c>
      <c r="M28" t="s">
        <v>15</v>
      </c>
      <c r="N28" t="s">
        <v>952</v>
      </c>
      <c r="O28" t="s">
        <v>952</v>
      </c>
      <c r="P28" t="s">
        <v>952</v>
      </c>
    </row>
    <row r="29" spans="1:16" x14ac:dyDescent="0.35">
      <c r="A29">
        <v>1079</v>
      </c>
      <c r="B29">
        <v>0</v>
      </c>
      <c r="C29">
        <v>3</v>
      </c>
      <c r="D29" t="s">
        <v>286</v>
      </c>
      <c r="E29" t="s">
        <v>11</v>
      </c>
      <c r="F29" t="s">
        <v>950</v>
      </c>
      <c r="G29">
        <v>17</v>
      </c>
      <c r="H29">
        <v>2</v>
      </c>
      <c r="I29">
        <v>0</v>
      </c>
      <c r="J29" t="s">
        <v>287</v>
      </c>
      <c r="K29">
        <v>8.0500000000000007</v>
      </c>
      <c r="M29" t="s">
        <v>15</v>
      </c>
      <c r="N29" t="s">
        <v>952</v>
      </c>
      <c r="O29" t="s">
        <v>952</v>
      </c>
      <c r="P29" t="s">
        <v>960</v>
      </c>
    </row>
    <row r="30" spans="1:16" x14ac:dyDescent="0.35">
      <c r="A30">
        <v>1067</v>
      </c>
      <c r="B30">
        <v>1</v>
      </c>
      <c r="C30">
        <v>2</v>
      </c>
      <c r="D30" t="s">
        <v>265</v>
      </c>
      <c r="E30" t="s">
        <v>14</v>
      </c>
      <c r="F30" t="s">
        <v>950</v>
      </c>
      <c r="G30">
        <v>15</v>
      </c>
      <c r="H30">
        <v>0</v>
      </c>
      <c r="I30">
        <v>2</v>
      </c>
      <c r="J30" t="s">
        <v>766</v>
      </c>
      <c r="K30">
        <v>39</v>
      </c>
      <c r="M30" t="s">
        <v>15</v>
      </c>
      <c r="N30" t="s">
        <v>952</v>
      </c>
      <c r="O30" t="s">
        <v>960</v>
      </c>
      <c r="P30" t="s">
        <v>952</v>
      </c>
    </row>
    <row r="31" spans="1:16" x14ac:dyDescent="0.35">
      <c r="A31">
        <v>1053</v>
      </c>
      <c r="B31">
        <v>0</v>
      </c>
      <c r="C31">
        <v>3</v>
      </c>
      <c r="D31" t="s">
        <v>247</v>
      </c>
      <c r="E31" t="s">
        <v>11</v>
      </c>
      <c r="F31" t="s">
        <v>950</v>
      </c>
      <c r="G31">
        <v>7</v>
      </c>
      <c r="H31">
        <v>1</v>
      </c>
      <c r="I31">
        <v>1</v>
      </c>
      <c r="J31" t="s">
        <v>756</v>
      </c>
      <c r="K31">
        <v>15.245799999999999</v>
      </c>
      <c r="M31" t="s">
        <v>23</v>
      </c>
      <c r="N31" t="s">
        <v>952</v>
      </c>
      <c r="O31" t="s">
        <v>952</v>
      </c>
      <c r="P31" t="s">
        <v>952</v>
      </c>
    </row>
    <row r="32" spans="1:16" x14ac:dyDescent="0.35">
      <c r="A32">
        <v>1046</v>
      </c>
      <c r="B32">
        <v>0</v>
      </c>
      <c r="C32">
        <v>3</v>
      </c>
      <c r="D32" t="s">
        <v>236</v>
      </c>
      <c r="E32" t="s">
        <v>11</v>
      </c>
      <c r="F32" t="s">
        <v>950</v>
      </c>
      <c r="G32">
        <v>13</v>
      </c>
      <c r="H32">
        <v>4</v>
      </c>
      <c r="I32">
        <v>2</v>
      </c>
      <c r="J32" t="s">
        <v>751</v>
      </c>
      <c r="K32">
        <v>31.387499999999999</v>
      </c>
      <c r="M32" t="s">
        <v>15</v>
      </c>
      <c r="N32" t="s">
        <v>952</v>
      </c>
      <c r="O32" t="s">
        <v>952</v>
      </c>
      <c r="P32" t="s">
        <v>952</v>
      </c>
    </row>
    <row r="33" spans="1:16" x14ac:dyDescent="0.35">
      <c r="A33">
        <v>1032</v>
      </c>
      <c r="B33">
        <v>1</v>
      </c>
      <c r="C33">
        <v>3</v>
      </c>
      <c r="D33" t="s">
        <v>219</v>
      </c>
      <c r="E33" t="s">
        <v>14</v>
      </c>
      <c r="F33" t="s">
        <v>950</v>
      </c>
      <c r="G33">
        <v>10</v>
      </c>
      <c r="H33">
        <v>5</v>
      </c>
      <c r="I33">
        <v>2</v>
      </c>
      <c r="J33" t="s">
        <v>738</v>
      </c>
      <c r="K33">
        <v>46.9</v>
      </c>
      <c r="M33" t="s">
        <v>15</v>
      </c>
      <c r="N33" t="s">
        <v>952</v>
      </c>
      <c r="O33" t="s">
        <v>952</v>
      </c>
      <c r="P33" t="s">
        <v>952</v>
      </c>
    </row>
    <row r="34" spans="1:16" x14ac:dyDescent="0.35">
      <c r="A34">
        <v>1017</v>
      </c>
      <c r="B34">
        <v>1</v>
      </c>
      <c r="C34">
        <v>3</v>
      </c>
      <c r="D34" t="s">
        <v>200</v>
      </c>
      <c r="E34" t="s">
        <v>14</v>
      </c>
      <c r="F34" t="s">
        <v>950</v>
      </c>
      <c r="G34">
        <v>17</v>
      </c>
      <c r="H34">
        <v>0</v>
      </c>
      <c r="I34">
        <v>1</v>
      </c>
      <c r="J34" t="s">
        <v>724</v>
      </c>
      <c r="K34">
        <v>16.100000000000001</v>
      </c>
      <c r="M34" t="s">
        <v>15</v>
      </c>
      <c r="N34" t="s">
        <v>952</v>
      </c>
      <c r="O34" t="s">
        <v>960</v>
      </c>
      <c r="P34" t="s">
        <v>952</v>
      </c>
    </row>
    <row r="35" spans="1:16" x14ac:dyDescent="0.35">
      <c r="A35">
        <v>1012</v>
      </c>
      <c r="B35">
        <v>1</v>
      </c>
      <c r="C35">
        <v>2</v>
      </c>
      <c r="D35" t="s">
        <v>193</v>
      </c>
      <c r="E35" t="s">
        <v>14</v>
      </c>
      <c r="F35" t="s">
        <v>950</v>
      </c>
      <c r="G35">
        <v>12</v>
      </c>
      <c r="H35">
        <v>0</v>
      </c>
      <c r="I35">
        <v>0</v>
      </c>
      <c r="J35" t="s">
        <v>194</v>
      </c>
      <c r="K35">
        <v>15.75</v>
      </c>
      <c r="M35" t="s">
        <v>15</v>
      </c>
      <c r="N35" t="s">
        <v>952</v>
      </c>
      <c r="O35" t="s">
        <v>960</v>
      </c>
      <c r="P35" t="s">
        <v>960</v>
      </c>
    </row>
    <row r="36" spans="1:16" x14ac:dyDescent="0.35">
      <c r="A36">
        <v>1009</v>
      </c>
      <c r="B36">
        <v>1</v>
      </c>
      <c r="C36">
        <v>3</v>
      </c>
      <c r="D36" t="s">
        <v>186</v>
      </c>
      <c r="E36" t="s">
        <v>14</v>
      </c>
      <c r="F36" t="s">
        <v>950</v>
      </c>
      <c r="G36">
        <v>1</v>
      </c>
      <c r="H36">
        <v>1</v>
      </c>
      <c r="I36">
        <v>1</v>
      </c>
      <c r="J36" t="s">
        <v>718</v>
      </c>
      <c r="K36">
        <v>16.7</v>
      </c>
      <c r="L36" t="s">
        <v>188</v>
      </c>
      <c r="M36" t="s">
        <v>15</v>
      </c>
      <c r="N36" t="s">
        <v>952</v>
      </c>
      <c r="O36" t="s">
        <v>952</v>
      </c>
      <c r="P36" t="s">
        <v>952</v>
      </c>
    </row>
    <row r="37" spans="1:16" x14ac:dyDescent="0.35">
      <c r="A37">
        <v>996</v>
      </c>
      <c r="B37">
        <v>1</v>
      </c>
      <c r="C37">
        <v>3</v>
      </c>
      <c r="D37" t="s">
        <v>169</v>
      </c>
      <c r="E37" t="s">
        <v>14</v>
      </c>
      <c r="F37" t="s">
        <v>950</v>
      </c>
      <c r="G37">
        <v>16</v>
      </c>
      <c r="H37">
        <v>1</v>
      </c>
      <c r="I37">
        <v>1</v>
      </c>
      <c r="J37" t="s">
        <v>707</v>
      </c>
      <c r="K37">
        <v>8.5167000000000002</v>
      </c>
      <c r="M37" t="s">
        <v>23</v>
      </c>
      <c r="N37" t="s">
        <v>952</v>
      </c>
      <c r="O37" t="s">
        <v>952</v>
      </c>
      <c r="P37" t="s">
        <v>952</v>
      </c>
    </row>
    <row r="38" spans="1:16" x14ac:dyDescent="0.35">
      <c r="A38">
        <v>981</v>
      </c>
      <c r="B38">
        <v>0</v>
      </c>
      <c r="C38">
        <v>2</v>
      </c>
      <c r="D38" t="s">
        <v>148</v>
      </c>
      <c r="E38" t="s">
        <v>11</v>
      </c>
      <c r="F38" t="s">
        <v>950</v>
      </c>
      <c r="G38">
        <v>2</v>
      </c>
      <c r="H38">
        <v>1</v>
      </c>
      <c r="I38">
        <v>1</v>
      </c>
      <c r="J38" t="s">
        <v>694</v>
      </c>
      <c r="K38">
        <v>23</v>
      </c>
      <c r="M38" t="s">
        <v>15</v>
      </c>
      <c r="N38" t="s">
        <v>952</v>
      </c>
      <c r="O38" t="s">
        <v>952</v>
      </c>
      <c r="P38" t="s">
        <v>952</v>
      </c>
    </row>
    <row r="39" spans="1:16" x14ac:dyDescent="0.35">
      <c r="A39">
        <v>972</v>
      </c>
      <c r="B39">
        <v>0</v>
      </c>
      <c r="C39">
        <v>3</v>
      </c>
      <c r="D39" t="s">
        <v>136</v>
      </c>
      <c r="E39" t="s">
        <v>11</v>
      </c>
      <c r="F39" t="s">
        <v>950</v>
      </c>
      <c r="G39">
        <v>6</v>
      </c>
      <c r="H39">
        <v>1</v>
      </c>
      <c r="I39">
        <v>1</v>
      </c>
      <c r="J39" t="s">
        <v>686</v>
      </c>
      <c r="K39">
        <v>15.245799999999999</v>
      </c>
      <c r="M39" t="s">
        <v>23</v>
      </c>
      <c r="N39" t="s">
        <v>952</v>
      </c>
      <c r="O39" t="s">
        <v>952</v>
      </c>
      <c r="P39" t="s">
        <v>952</v>
      </c>
    </row>
    <row r="40" spans="1:16" x14ac:dyDescent="0.35">
      <c r="A40">
        <v>956</v>
      </c>
      <c r="B40">
        <v>0</v>
      </c>
      <c r="C40">
        <v>1</v>
      </c>
      <c r="D40" t="s">
        <v>113</v>
      </c>
      <c r="E40" t="s">
        <v>11</v>
      </c>
      <c r="F40" t="s">
        <v>950</v>
      </c>
      <c r="G40">
        <v>13</v>
      </c>
      <c r="H40">
        <v>2</v>
      </c>
      <c r="I40">
        <v>2</v>
      </c>
      <c r="J40" t="s">
        <v>640</v>
      </c>
      <c r="K40">
        <v>262.375</v>
      </c>
      <c r="L40" t="s">
        <v>51</v>
      </c>
      <c r="M40" t="s">
        <v>23</v>
      </c>
      <c r="N40" t="s">
        <v>952</v>
      </c>
      <c r="O40" t="s">
        <v>952</v>
      </c>
      <c r="P40" t="s">
        <v>952</v>
      </c>
    </row>
    <row r="41" spans="1:16" x14ac:dyDescent="0.35">
      <c r="A41">
        <v>952</v>
      </c>
      <c r="B41">
        <v>0</v>
      </c>
      <c r="C41">
        <v>3</v>
      </c>
      <c r="D41" t="s">
        <v>109</v>
      </c>
      <c r="E41" t="s">
        <v>11</v>
      </c>
      <c r="F41" t="s">
        <v>950</v>
      </c>
      <c r="G41">
        <v>17</v>
      </c>
      <c r="H41">
        <v>0</v>
      </c>
      <c r="I41">
        <v>0</v>
      </c>
      <c r="J41" t="s">
        <v>670</v>
      </c>
      <c r="K41">
        <v>7.8958000000000004</v>
      </c>
      <c r="M41" t="s">
        <v>15</v>
      </c>
      <c r="N41" t="s">
        <v>952</v>
      </c>
      <c r="O41" t="s">
        <v>960</v>
      </c>
      <c r="P41" t="s">
        <v>960</v>
      </c>
    </row>
    <row r="42" spans="1:16" x14ac:dyDescent="0.35">
      <c r="A42">
        <v>947</v>
      </c>
      <c r="B42">
        <v>0</v>
      </c>
      <c r="C42">
        <v>3</v>
      </c>
      <c r="D42" t="s">
        <v>102</v>
      </c>
      <c r="E42" t="s">
        <v>11</v>
      </c>
      <c r="F42" t="s">
        <v>950</v>
      </c>
      <c r="G42">
        <v>10</v>
      </c>
      <c r="H42">
        <v>4</v>
      </c>
      <c r="I42">
        <v>1</v>
      </c>
      <c r="J42" t="s">
        <v>666</v>
      </c>
      <c r="K42">
        <v>29.125</v>
      </c>
      <c r="M42" t="s">
        <v>12</v>
      </c>
      <c r="N42" t="s">
        <v>952</v>
      </c>
      <c r="O42" t="s">
        <v>952</v>
      </c>
      <c r="P42" t="s">
        <v>952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5C8F-E7CC-4D1A-951D-7F638DFD9336}">
  <dimension ref="A3:B16"/>
  <sheetViews>
    <sheetView workbookViewId="0">
      <selection activeCell="B5" sqref="B5"/>
    </sheetView>
  </sheetViews>
  <sheetFormatPr defaultRowHeight="14.5" x14ac:dyDescent="0.35"/>
  <cols>
    <col min="1" max="1" width="12.36328125" bestFit="1" customWidth="1"/>
    <col min="2" max="2" width="19.453125" bestFit="1" customWidth="1"/>
  </cols>
  <sheetData>
    <row r="3" spans="1:2" x14ac:dyDescent="0.35">
      <c r="A3" s="2" t="s">
        <v>945</v>
      </c>
      <c r="B3" t="s">
        <v>947</v>
      </c>
    </row>
    <row r="4" spans="1:2" x14ac:dyDescent="0.35">
      <c r="A4" s="3" t="s">
        <v>960</v>
      </c>
      <c r="B4">
        <v>377</v>
      </c>
    </row>
    <row r="5" spans="1:2" x14ac:dyDescent="0.35">
      <c r="A5" s="3" t="s">
        <v>952</v>
      </c>
      <c r="B5">
        <v>41</v>
      </c>
    </row>
    <row r="6" spans="1:2" x14ac:dyDescent="0.35">
      <c r="A6" s="3" t="s">
        <v>946</v>
      </c>
      <c r="B6">
        <v>418</v>
      </c>
    </row>
    <row r="16" spans="1:2" x14ac:dyDescent="0.35">
      <c r="B16" t="s">
        <v>961</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6493-5339-407F-8967-8D7849033E8B}">
  <dimension ref="A1:P419"/>
  <sheetViews>
    <sheetView topLeftCell="D1" zoomScale="69" zoomScaleNormal="82" workbookViewId="0">
      <selection activeCell="T407" sqref="T407"/>
    </sheetView>
  </sheetViews>
  <sheetFormatPr defaultRowHeight="14.5" x14ac:dyDescent="0.35"/>
  <cols>
    <col min="1" max="1" width="13.54296875" customWidth="1"/>
    <col min="2" max="2" width="10.1796875" customWidth="1"/>
    <col min="4" max="4" width="58.08984375" bestFit="1" customWidth="1"/>
    <col min="6" max="6" width="20.54296875" customWidth="1"/>
    <col min="8" max="8" width="19.1796875" customWidth="1"/>
    <col min="10" max="10" width="19" bestFit="1" customWidth="1"/>
    <col min="11" max="11" width="8.81640625" bestFit="1" customWidth="1"/>
    <col min="13" max="13" width="11.453125" customWidth="1"/>
    <col min="15" max="15" width="14.90625" bestFit="1" customWidth="1"/>
    <col min="16" max="16" width="16.36328125" bestFit="1" customWidth="1"/>
  </cols>
  <sheetData>
    <row r="1" spans="1:16" x14ac:dyDescent="0.35">
      <c r="A1" t="s">
        <v>607</v>
      </c>
      <c r="B1" t="s">
        <v>0</v>
      </c>
      <c r="C1" t="s">
        <v>1</v>
      </c>
      <c r="D1" t="s">
        <v>2</v>
      </c>
      <c r="E1" t="s">
        <v>3</v>
      </c>
      <c r="F1" t="s">
        <v>944</v>
      </c>
      <c r="G1" t="s">
        <v>4</v>
      </c>
      <c r="H1" t="s">
        <v>608</v>
      </c>
      <c r="I1" t="s">
        <v>5</v>
      </c>
      <c r="J1" t="s">
        <v>6</v>
      </c>
      <c r="K1" t="s">
        <v>7</v>
      </c>
      <c r="L1" t="s">
        <v>8</v>
      </c>
      <c r="M1" t="s">
        <v>9</v>
      </c>
      <c r="N1" t="s">
        <v>941</v>
      </c>
      <c r="O1" t="s">
        <v>942</v>
      </c>
      <c r="P1" t="s">
        <v>943</v>
      </c>
    </row>
    <row r="2" spans="1:16" x14ac:dyDescent="0.35">
      <c r="A2">
        <v>892</v>
      </c>
      <c r="B2">
        <v>0</v>
      </c>
      <c r="C2">
        <v>3</v>
      </c>
      <c r="D2" t="s">
        <v>10</v>
      </c>
      <c r="E2" t="s">
        <v>11</v>
      </c>
      <c r="F2" t="str">
        <f>IF(Cleanedtable[[#This Row],[Age]]&lt;18,"TEEN",IF(Cleanedtable[[#This Row],[Age]]&lt;30,"YOUTH",IF(Cleanedtable[[#This Row],[Age]]&lt;=59,"ADULT",IF(Cleanedtable[[#This Row],[Age]]&gt;=60,"ELDER"))))</f>
        <v>ADULT</v>
      </c>
      <c r="G2">
        <v>34.5</v>
      </c>
      <c r="H2">
        <v>0</v>
      </c>
      <c r="I2">
        <v>0</v>
      </c>
      <c r="J2" t="s">
        <v>619</v>
      </c>
      <c r="K2">
        <v>7.8292000000000002</v>
      </c>
      <c r="M2" t="s">
        <v>12</v>
      </c>
      <c r="N2" t="str">
        <f>IF(Cleanedtable[[#This Row],[Age]]&lt;18, "YES","NO")</f>
        <v>NO</v>
      </c>
      <c r="O2" t="str">
        <f>IF(Cleanedtable[[#This Row],[SIBLINGS/SPOUSES]]&gt;0,"YES","NO")</f>
        <v>NO</v>
      </c>
      <c r="P2" t="str">
        <f>IF(Cleanedtable[[#This Row],[Parch]]&gt;0,"YES","NO")</f>
        <v>NO</v>
      </c>
    </row>
    <row r="3" spans="1:16" x14ac:dyDescent="0.35">
      <c r="A3">
        <v>893</v>
      </c>
      <c r="B3">
        <v>1</v>
      </c>
      <c r="C3">
        <v>3</v>
      </c>
      <c r="D3" t="s">
        <v>13</v>
      </c>
      <c r="E3" t="s">
        <v>14</v>
      </c>
      <c r="F3" t="str">
        <f>IF(Cleanedtable[[#This Row],[Age]]&lt;18,"TEEN",IF(Cleanedtable[[#This Row],[Age]]&lt;30,"YOUTH",IF(Cleanedtable[[#This Row],[Age]]&lt;=59,"ADULT",IF(Cleanedtable[[#This Row],[Age]]&gt;=60,"ELDER"))))</f>
        <v>ADULT</v>
      </c>
      <c r="G3">
        <v>47</v>
      </c>
      <c r="H3">
        <v>1</v>
      </c>
      <c r="I3">
        <v>0</v>
      </c>
      <c r="J3" t="s">
        <v>620</v>
      </c>
      <c r="K3">
        <v>7</v>
      </c>
      <c r="M3" t="s">
        <v>15</v>
      </c>
      <c r="N3" t="str">
        <f>IF(Cleanedtable[[#This Row],[Age]]&lt;18, "YES","NO")</f>
        <v>NO</v>
      </c>
      <c r="O3" t="str">
        <f>IF(Cleanedtable[[#This Row],[SIBLINGS/SPOUSES]]&gt;0,"YES","NO")</f>
        <v>YES</v>
      </c>
      <c r="P3" t="str">
        <f>IF(Cleanedtable[[#This Row],[Parch]]&gt;0,"YES","NO")</f>
        <v>NO</v>
      </c>
    </row>
    <row r="4" spans="1:16" x14ac:dyDescent="0.35">
      <c r="A4">
        <v>894</v>
      </c>
      <c r="B4">
        <v>0</v>
      </c>
      <c r="C4">
        <v>2</v>
      </c>
      <c r="D4" t="s">
        <v>16</v>
      </c>
      <c r="E4" t="s">
        <v>11</v>
      </c>
      <c r="F4" t="str">
        <f>IF(Cleanedtable[[#This Row],[Age]]&lt;18,"TEEN",IF(Cleanedtable[[#This Row],[Age]]&lt;30,"YOUTH",IF(Cleanedtable[[#This Row],[Age]]&lt;=59,"ADULT",IF(Cleanedtable[[#This Row],[Age]]&gt;=60,"ELDER"))))</f>
        <v>ELDER</v>
      </c>
      <c r="G4">
        <v>62</v>
      </c>
      <c r="H4">
        <v>0</v>
      </c>
      <c r="I4">
        <v>0</v>
      </c>
      <c r="J4" t="s">
        <v>621</v>
      </c>
      <c r="K4">
        <v>9.6875</v>
      </c>
      <c r="M4" t="s">
        <v>12</v>
      </c>
      <c r="N4" t="str">
        <f>IF(Cleanedtable[[#This Row],[Age]]&lt;18, "YES","NO")</f>
        <v>NO</v>
      </c>
      <c r="O4" t="str">
        <f>IF(Cleanedtable[[#This Row],[SIBLINGS/SPOUSES]]&gt;0,"YES","NO")</f>
        <v>NO</v>
      </c>
      <c r="P4" t="str">
        <f>IF(Cleanedtable[[#This Row],[Parch]]&gt;0,"YES","NO")</f>
        <v>NO</v>
      </c>
    </row>
    <row r="5" spans="1:16" x14ac:dyDescent="0.35">
      <c r="A5">
        <v>895</v>
      </c>
      <c r="B5">
        <v>0</v>
      </c>
      <c r="C5">
        <v>3</v>
      </c>
      <c r="D5" t="s">
        <v>17</v>
      </c>
      <c r="E5" t="s">
        <v>11</v>
      </c>
      <c r="F5" t="str">
        <f>IF(Cleanedtable[[#This Row],[Age]]&lt;18,"TEEN",IF(Cleanedtable[[#This Row],[Age]]&lt;30,"YOUTH",IF(Cleanedtable[[#This Row],[Age]]&lt;=59,"ADULT",IF(Cleanedtable[[#This Row],[Age]]&gt;=60,"ELDER"))))</f>
        <v>YOUTH</v>
      </c>
      <c r="G5">
        <v>27</v>
      </c>
      <c r="H5">
        <v>0</v>
      </c>
      <c r="I5">
        <v>0</v>
      </c>
      <c r="J5" t="s">
        <v>622</v>
      </c>
      <c r="K5">
        <v>8.6624999999999996</v>
      </c>
      <c r="M5" t="s">
        <v>15</v>
      </c>
      <c r="N5" t="str">
        <f>IF(Cleanedtable[[#This Row],[Age]]&lt;18, "YES","NO")</f>
        <v>NO</v>
      </c>
      <c r="O5" t="str">
        <f>IF(Cleanedtable[[#This Row],[SIBLINGS/SPOUSES]]&gt;0,"YES","NO")</f>
        <v>NO</v>
      </c>
      <c r="P5" t="str">
        <f>IF(Cleanedtable[[#This Row],[Parch]]&gt;0,"YES","NO")</f>
        <v>NO</v>
      </c>
    </row>
    <row r="6" spans="1:16" x14ac:dyDescent="0.35">
      <c r="A6">
        <v>896</v>
      </c>
      <c r="B6">
        <v>1</v>
      </c>
      <c r="C6">
        <v>3</v>
      </c>
      <c r="D6" t="s">
        <v>18</v>
      </c>
      <c r="E6" t="s">
        <v>14</v>
      </c>
      <c r="F6" t="str">
        <f>IF(Cleanedtable[[#This Row],[Age]]&lt;18,"TEEN",IF(Cleanedtable[[#This Row],[Age]]&lt;30,"YOUTH",IF(Cleanedtable[[#This Row],[Age]]&lt;=59,"ADULT",IF(Cleanedtable[[#This Row],[Age]]&gt;=60,"ELDER"))))</f>
        <v>YOUTH</v>
      </c>
      <c r="G6">
        <v>22</v>
      </c>
      <c r="H6">
        <v>1</v>
      </c>
      <c r="I6">
        <v>1</v>
      </c>
      <c r="J6" t="s">
        <v>623</v>
      </c>
      <c r="K6">
        <v>12.2875</v>
      </c>
      <c r="M6" t="s">
        <v>15</v>
      </c>
      <c r="N6" t="str">
        <f>IF(Cleanedtable[[#This Row],[Age]]&lt;18, "YES","NO")</f>
        <v>NO</v>
      </c>
      <c r="O6" t="str">
        <f>IF(Cleanedtable[[#This Row],[SIBLINGS/SPOUSES]]&gt;0,"YES","NO")</f>
        <v>YES</v>
      </c>
      <c r="P6" t="str">
        <f>IF(Cleanedtable[[#This Row],[Parch]]&gt;0,"YES","NO")</f>
        <v>YES</v>
      </c>
    </row>
    <row r="7" spans="1:16" x14ac:dyDescent="0.35">
      <c r="A7">
        <v>897</v>
      </c>
      <c r="B7">
        <v>0</v>
      </c>
      <c r="C7">
        <v>3</v>
      </c>
      <c r="D7" t="s">
        <v>19</v>
      </c>
      <c r="E7" t="s">
        <v>11</v>
      </c>
      <c r="F7" t="str">
        <f>IF(Cleanedtable[[#This Row],[Age]]&lt;18,"TEEN",IF(Cleanedtable[[#This Row],[Age]]&lt;30,"YOUTH",IF(Cleanedtable[[#This Row],[Age]]&lt;=59,"ADULT",IF(Cleanedtable[[#This Row],[Age]]&gt;=60,"ELDER"))))</f>
        <v>TEEN</v>
      </c>
      <c r="G7">
        <v>14</v>
      </c>
      <c r="H7">
        <v>0</v>
      </c>
      <c r="I7">
        <v>0</v>
      </c>
      <c r="J7" t="s">
        <v>624</v>
      </c>
      <c r="K7">
        <v>9.2249999999999996</v>
      </c>
      <c r="M7" t="s">
        <v>15</v>
      </c>
      <c r="N7" t="str">
        <f>IF(Cleanedtable[[#This Row],[Age]]&lt;18, "YES","NO")</f>
        <v>YES</v>
      </c>
      <c r="O7" t="str">
        <f>IF(Cleanedtable[[#This Row],[SIBLINGS/SPOUSES]]&gt;0,"YES","NO")</f>
        <v>NO</v>
      </c>
      <c r="P7" t="str">
        <f>IF(Cleanedtable[[#This Row],[Parch]]&gt;0,"YES","NO")</f>
        <v>NO</v>
      </c>
    </row>
    <row r="8" spans="1:16" x14ac:dyDescent="0.35">
      <c r="A8">
        <v>898</v>
      </c>
      <c r="B8">
        <v>1</v>
      </c>
      <c r="C8">
        <v>3</v>
      </c>
      <c r="D8" t="s">
        <v>20</v>
      </c>
      <c r="E8" t="s">
        <v>14</v>
      </c>
      <c r="F8" t="str">
        <f>IF(Cleanedtable[[#This Row],[Age]]&lt;18,"TEEN",IF(Cleanedtable[[#This Row],[Age]]&lt;30,"YOUTH",IF(Cleanedtable[[#This Row],[Age]]&lt;=59,"ADULT",IF(Cleanedtable[[#This Row],[Age]]&gt;=60,"ELDER"))))</f>
        <v>ADULT</v>
      </c>
      <c r="G8">
        <v>30</v>
      </c>
      <c r="H8">
        <v>0</v>
      </c>
      <c r="I8">
        <v>0</v>
      </c>
      <c r="J8" t="s">
        <v>625</v>
      </c>
      <c r="K8">
        <v>7.6292</v>
      </c>
      <c r="M8" t="s">
        <v>12</v>
      </c>
      <c r="N8" t="str">
        <f>IF(Cleanedtable[[#This Row],[Age]]&lt;18, "YES","NO")</f>
        <v>NO</v>
      </c>
      <c r="O8" t="str">
        <f>IF(Cleanedtable[[#This Row],[SIBLINGS/SPOUSES]]&gt;0,"YES","NO")</f>
        <v>NO</v>
      </c>
      <c r="P8" t="str">
        <f>IF(Cleanedtable[[#This Row],[Parch]]&gt;0,"YES","NO")</f>
        <v>NO</v>
      </c>
    </row>
    <row r="9" spans="1:16" x14ac:dyDescent="0.35">
      <c r="A9">
        <v>899</v>
      </c>
      <c r="B9">
        <v>0</v>
      </c>
      <c r="C9">
        <v>2</v>
      </c>
      <c r="D9" t="s">
        <v>21</v>
      </c>
      <c r="E9" t="s">
        <v>11</v>
      </c>
      <c r="F9" t="str">
        <f>IF(Cleanedtable[[#This Row],[Age]]&lt;18,"TEEN",IF(Cleanedtable[[#This Row],[Age]]&lt;30,"YOUTH",IF(Cleanedtable[[#This Row],[Age]]&lt;=59,"ADULT",IF(Cleanedtable[[#This Row],[Age]]&gt;=60,"ELDER"))))</f>
        <v>YOUTH</v>
      </c>
      <c r="G9">
        <v>26</v>
      </c>
      <c r="H9">
        <v>1</v>
      </c>
      <c r="I9">
        <v>1</v>
      </c>
      <c r="J9" t="s">
        <v>626</v>
      </c>
      <c r="K9">
        <v>29</v>
      </c>
      <c r="M9" t="s">
        <v>15</v>
      </c>
      <c r="N9" t="str">
        <f>IF(Cleanedtable[[#This Row],[Age]]&lt;18, "YES","NO")</f>
        <v>NO</v>
      </c>
      <c r="O9" t="str">
        <f>IF(Cleanedtable[[#This Row],[SIBLINGS/SPOUSES]]&gt;0,"YES","NO")</f>
        <v>YES</v>
      </c>
      <c r="P9" t="str">
        <f>IF(Cleanedtable[[#This Row],[Parch]]&gt;0,"YES","NO")</f>
        <v>YES</v>
      </c>
    </row>
    <row r="10" spans="1:16" x14ac:dyDescent="0.35">
      <c r="A10">
        <v>900</v>
      </c>
      <c r="B10">
        <v>1</v>
      </c>
      <c r="C10">
        <v>3</v>
      </c>
      <c r="D10" t="s">
        <v>22</v>
      </c>
      <c r="E10" t="s">
        <v>14</v>
      </c>
      <c r="F10" t="str">
        <f>IF(Cleanedtable[[#This Row],[Age]]&lt;18,"TEEN",IF(Cleanedtable[[#This Row],[Age]]&lt;30,"YOUTH",IF(Cleanedtable[[#This Row],[Age]]&lt;=59,"ADULT",IF(Cleanedtable[[#This Row],[Age]]&gt;=60,"ELDER"))))</f>
        <v>YOUTH</v>
      </c>
      <c r="G10">
        <v>18</v>
      </c>
      <c r="H10">
        <v>0</v>
      </c>
      <c r="I10">
        <v>0</v>
      </c>
      <c r="J10" t="s">
        <v>627</v>
      </c>
      <c r="K10">
        <v>7.2291999999999996</v>
      </c>
      <c r="M10" t="s">
        <v>23</v>
      </c>
      <c r="N10" t="str">
        <f>IF(Cleanedtable[[#This Row],[Age]]&lt;18, "YES","NO")</f>
        <v>NO</v>
      </c>
      <c r="O10" t="str">
        <f>IF(Cleanedtable[[#This Row],[SIBLINGS/SPOUSES]]&gt;0,"YES","NO")</f>
        <v>NO</v>
      </c>
      <c r="P10" t="str">
        <f>IF(Cleanedtable[[#This Row],[Parch]]&gt;0,"YES","NO")</f>
        <v>NO</v>
      </c>
    </row>
    <row r="11" spans="1:16" x14ac:dyDescent="0.35">
      <c r="A11">
        <v>901</v>
      </c>
      <c r="B11">
        <v>0</v>
      </c>
      <c r="C11">
        <v>3</v>
      </c>
      <c r="D11" t="s">
        <v>24</v>
      </c>
      <c r="E11" t="s">
        <v>11</v>
      </c>
      <c r="F11" t="str">
        <f>IF(Cleanedtable[[#This Row],[Age]]&lt;18,"TEEN",IF(Cleanedtable[[#This Row],[Age]]&lt;30,"YOUTH",IF(Cleanedtable[[#This Row],[Age]]&lt;=59,"ADULT",IF(Cleanedtable[[#This Row],[Age]]&gt;=60,"ELDER"))))</f>
        <v>YOUTH</v>
      </c>
      <c r="G11">
        <v>21</v>
      </c>
      <c r="H11">
        <v>2</v>
      </c>
      <c r="I11">
        <v>0</v>
      </c>
      <c r="J11" t="s">
        <v>25</v>
      </c>
      <c r="K11">
        <v>24.15</v>
      </c>
      <c r="M11" t="s">
        <v>15</v>
      </c>
      <c r="N11" t="str">
        <f>IF(Cleanedtable[[#This Row],[Age]]&lt;18, "YES","NO")</f>
        <v>NO</v>
      </c>
      <c r="O11" t="str">
        <f>IF(Cleanedtable[[#This Row],[SIBLINGS/SPOUSES]]&gt;0,"YES","NO")</f>
        <v>YES</v>
      </c>
      <c r="P11" t="str">
        <f>IF(Cleanedtable[[#This Row],[Parch]]&gt;0,"YES","NO")</f>
        <v>NO</v>
      </c>
    </row>
    <row r="12" spans="1:16" x14ac:dyDescent="0.35">
      <c r="A12">
        <v>902</v>
      </c>
      <c r="B12">
        <v>0</v>
      </c>
      <c r="C12">
        <v>3</v>
      </c>
      <c r="D12" t="s">
        <v>26</v>
      </c>
      <c r="E12" t="s">
        <v>11</v>
      </c>
      <c r="F12" t="str">
        <f>IF(Cleanedtable[[#This Row],[Age]]&lt;18,"TEEN",IF(Cleanedtable[[#This Row],[Age]]&lt;30,"YOUTH",IF(Cleanedtable[[#This Row],[Age]]&lt;=59,"ADULT",IF(Cleanedtable[[#This Row],[Age]]&gt;=60,"ELDER"))))</f>
        <v>ADULT</v>
      </c>
      <c r="G12">
        <v>30.2</v>
      </c>
      <c r="H12">
        <v>0</v>
      </c>
      <c r="I12">
        <v>0</v>
      </c>
      <c r="J12" t="s">
        <v>628</v>
      </c>
      <c r="K12">
        <v>7.8958000000000004</v>
      </c>
      <c r="M12" t="s">
        <v>15</v>
      </c>
      <c r="N12" t="str">
        <f>IF(Cleanedtable[[#This Row],[Age]]&lt;18, "YES","NO")</f>
        <v>NO</v>
      </c>
      <c r="O12" t="str">
        <f>IF(Cleanedtable[[#This Row],[SIBLINGS/SPOUSES]]&gt;0,"YES","NO")</f>
        <v>NO</v>
      </c>
      <c r="P12" t="str">
        <f>IF(Cleanedtable[[#This Row],[Parch]]&gt;0,"YES","NO")</f>
        <v>NO</v>
      </c>
    </row>
    <row r="13" spans="1:16" x14ac:dyDescent="0.35">
      <c r="A13">
        <v>903</v>
      </c>
      <c r="B13">
        <v>0</v>
      </c>
      <c r="C13">
        <v>1</v>
      </c>
      <c r="D13" t="s">
        <v>27</v>
      </c>
      <c r="E13" t="s">
        <v>11</v>
      </c>
      <c r="F13" t="str">
        <f>IF(Cleanedtable[[#This Row],[Age]]&lt;18,"TEEN",IF(Cleanedtable[[#This Row],[Age]]&lt;30,"YOUTH",IF(Cleanedtable[[#This Row],[Age]]&lt;=59,"ADULT",IF(Cleanedtable[[#This Row],[Age]]&gt;=60,"ELDER"))))</f>
        <v>ADULT</v>
      </c>
      <c r="G13">
        <v>46</v>
      </c>
      <c r="H13">
        <v>0</v>
      </c>
      <c r="I13">
        <v>0</v>
      </c>
      <c r="J13" t="s">
        <v>629</v>
      </c>
      <c r="K13">
        <v>26</v>
      </c>
      <c r="M13" t="s">
        <v>15</v>
      </c>
      <c r="N13" t="str">
        <f>IF(Cleanedtable[[#This Row],[Age]]&lt;18, "YES","NO")</f>
        <v>NO</v>
      </c>
      <c r="O13" t="str">
        <f>IF(Cleanedtable[[#This Row],[SIBLINGS/SPOUSES]]&gt;0,"YES","NO")</f>
        <v>NO</v>
      </c>
      <c r="P13" t="str">
        <f>IF(Cleanedtable[[#This Row],[Parch]]&gt;0,"YES","NO")</f>
        <v>NO</v>
      </c>
    </row>
    <row r="14" spans="1:16" x14ac:dyDescent="0.35">
      <c r="A14">
        <v>904</v>
      </c>
      <c r="B14">
        <v>1</v>
      </c>
      <c r="C14">
        <v>1</v>
      </c>
      <c r="D14" t="s">
        <v>28</v>
      </c>
      <c r="E14" t="s">
        <v>14</v>
      </c>
      <c r="F14" t="str">
        <f>IF(Cleanedtable[[#This Row],[Age]]&lt;18,"TEEN",IF(Cleanedtable[[#This Row],[Age]]&lt;30,"YOUTH",IF(Cleanedtable[[#This Row],[Age]]&lt;=59,"ADULT",IF(Cleanedtable[[#This Row],[Age]]&gt;=60,"ELDER"))))</f>
        <v>YOUTH</v>
      </c>
      <c r="G14">
        <v>23</v>
      </c>
      <c r="H14">
        <v>1</v>
      </c>
      <c r="I14">
        <v>0</v>
      </c>
      <c r="J14" t="s">
        <v>630</v>
      </c>
      <c r="K14">
        <v>82.2667</v>
      </c>
      <c r="L14" t="s">
        <v>29</v>
      </c>
      <c r="M14" t="s">
        <v>15</v>
      </c>
      <c r="N14" t="str">
        <f>IF(Cleanedtable[[#This Row],[Age]]&lt;18, "YES","NO")</f>
        <v>NO</v>
      </c>
      <c r="O14" t="str">
        <f>IF(Cleanedtable[[#This Row],[SIBLINGS/SPOUSES]]&gt;0,"YES","NO")</f>
        <v>YES</v>
      </c>
      <c r="P14" t="str">
        <f>IF(Cleanedtable[[#This Row],[Parch]]&gt;0,"YES","NO")</f>
        <v>NO</v>
      </c>
    </row>
    <row r="15" spans="1:16" x14ac:dyDescent="0.35">
      <c r="A15">
        <v>905</v>
      </c>
      <c r="B15">
        <v>0</v>
      </c>
      <c r="C15">
        <v>2</v>
      </c>
      <c r="D15" t="s">
        <v>30</v>
      </c>
      <c r="E15" t="s">
        <v>11</v>
      </c>
      <c r="F15" t="str">
        <f>IF(Cleanedtable[[#This Row],[Age]]&lt;18,"TEEN",IF(Cleanedtable[[#This Row],[Age]]&lt;30,"YOUTH",IF(Cleanedtable[[#This Row],[Age]]&lt;=59,"ADULT",IF(Cleanedtable[[#This Row],[Age]]&gt;=60,"ELDER"))))</f>
        <v>ELDER</v>
      </c>
      <c r="G15">
        <v>63</v>
      </c>
      <c r="H15">
        <v>1</v>
      </c>
      <c r="I15">
        <v>0</v>
      </c>
      <c r="J15" t="s">
        <v>631</v>
      </c>
      <c r="K15">
        <v>26</v>
      </c>
      <c r="M15" t="s">
        <v>15</v>
      </c>
      <c r="N15" t="str">
        <f>IF(Cleanedtable[[#This Row],[Age]]&lt;18, "YES","NO")</f>
        <v>NO</v>
      </c>
      <c r="O15" t="str">
        <f>IF(Cleanedtable[[#This Row],[SIBLINGS/SPOUSES]]&gt;0,"YES","NO")</f>
        <v>YES</v>
      </c>
      <c r="P15" t="str">
        <f>IF(Cleanedtable[[#This Row],[Parch]]&gt;0,"YES","NO")</f>
        <v>NO</v>
      </c>
    </row>
    <row r="16" spans="1:16" x14ac:dyDescent="0.35">
      <c r="A16">
        <v>906</v>
      </c>
      <c r="B16">
        <v>1</v>
      </c>
      <c r="C16">
        <v>1</v>
      </c>
      <c r="D16" t="s">
        <v>31</v>
      </c>
      <c r="E16" t="s">
        <v>14</v>
      </c>
      <c r="F16" t="str">
        <f>IF(Cleanedtable[[#This Row],[Age]]&lt;18,"TEEN",IF(Cleanedtable[[#This Row],[Age]]&lt;30,"YOUTH",IF(Cleanedtable[[#This Row],[Age]]&lt;=59,"ADULT",IF(Cleanedtable[[#This Row],[Age]]&gt;=60,"ELDER"))))</f>
        <v>ADULT</v>
      </c>
      <c r="G16">
        <v>47</v>
      </c>
      <c r="H16">
        <v>1</v>
      </c>
      <c r="I16">
        <v>0</v>
      </c>
      <c r="J16" t="s">
        <v>32</v>
      </c>
      <c r="K16">
        <v>61.174999999999997</v>
      </c>
      <c r="L16" t="s">
        <v>33</v>
      </c>
      <c r="M16" t="s">
        <v>15</v>
      </c>
      <c r="N16" t="str">
        <f>IF(Cleanedtable[[#This Row],[Age]]&lt;18, "YES","NO")</f>
        <v>NO</v>
      </c>
      <c r="O16" t="str">
        <f>IF(Cleanedtable[[#This Row],[SIBLINGS/SPOUSES]]&gt;0,"YES","NO")</f>
        <v>YES</v>
      </c>
      <c r="P16" t="str">
        <f>IF(Cleanedtable[[#This Row],[Parch]]&gt;0,"YES","NO")</f>
        <v>NO</v>
      </c>
    </row>
    <row r="17" spans="1:16" x14ac:dyDescent="0.35">
      <c r="A17">
        <v>907</v>
      </c>
      <c r="B17">
        <v>1</v>
      </c>
      <c r="C17">
        <v>2</v>
      </c>
      <c r="D17" t="s">
        <v>34</v>
      </c>
      <c r="E17" t="s">
        <v>14</v>
      </c>
      <c r="F17" t="str">
        <f>IF(Cleanedtable[[#This Row],[Age]]&lt;18,"TEEN",IF(Cleanedtable[[#This Row],[Age]]&lt;30,"YOUTH",IF(Cleanedtable[[#This Row],[Age]]&lt;=59,"ADULT",IF(Cleanedtable[[#This Row],[Age]]&gt;=60,"ELDER"))))</f>
        <v>YOUTH</v>
      </c>
      <c r="G17">
        <v>24</v>
      </c>
      <c r="H17">
        <v>1</v>
      </c>
      <c r="I17">
        <v>0</v>
      </c>
      <c r="J17" t="s">
        <v>632</v>
      </c>
      <c r="K17">
        <v>27.720800000000001</v>
      </c>
      <c r="M17" t="s">
        <v>23</v>
      </c>
      <c r="N17" t="str">
        <f>IF(Cleanedtable[[#This Row],[Age]]&lt;18, "YES","NO")</f>
        <v>NO</v>
      </c>
      <c r="O17" t="str">
        <f>IF(Cleanedtable[[#This Row],[SIBLINGS/SPOUSES]]&gt;0,"YES","NO")</f>
        <v>YES</v>
      </c>
      <c r="P17" t="str">
        <f>IF(Cleanedtable[[#This Row],[Parch]]&gt;0,"YES","NO")</f>
        <v>NO</v>
      </c>
    </row>
    <row r="18" spans="1:16" x14ac:dyDescent="0.35">
      <c r="A18">
        <v>908</v>
      </c>
      <c r="B18">
        <v>0</v>
      </c>
      <c r="C18">
        <v>2</v>
      </c>
      <c r="D18" t="s">
        <v>36</v>
      </c>
      <c r="E18" t="s">
        <v>11</v>
      </c>
      <c r="F18" t="str">
        <f>IF(Cleanedtable[[#This Row],[Age]]&lt;18,"TEEN",IF(Cleanedtable[[#This Row],[Age]]&lt;30,"YOUTH",IF(Cleanedtable[[#This Row],[Age]]&lt;=59,"ADULT",IF(Cleanedtable[[#This Row],[Age]]&gt;=60,"ELDER"))))</f>
        <v>ADULT</v>
      </c>
      <c r="G18">
        <v>35</v>
      </c>
      <c r="H18">
        <v>0</v>
      </c>
      <c r="I18">
        <v>0</v>
      </c>
      <c r="J18" t="s">
        <v>633</v>
      </c>
      <c r="K18">
        <v>12.35</v>
      </c>
      <c r="M18" t="s">
        <v>12</v>
      </c>
      <c r="N18" t="str">
        <f>IF(Cleanedtable[[#This Row],[Age]]&lt;18, "YES","NO")</f>
        <v>NO</v>
      </c>
      <c r="O18" t="str">
        <f>IF(Cleanedtable[[#This Row],[SIBLINGS/SPOUSES]]&gt;0,"YES","NO")</f>
        <v>NO</v>
      </c>
      <c r="P18" t="str">
        <f>IF(Cleanedtable[[#This Row],[Parch]]&gt;0,"YES","NO")</f>
        <v>NO</v>
      </c>
    </row>
    <row r="19" spans="1:16" x14ac:dyDescent="0.35">
      <c r="A19">
        <v>909</v>
      </c>
      <c r="B19">
        <v>0</v>
      </c>
      <c r="C19">
        <v>3</v>
      </c>
      <c r="D19" t="s">
        <v>37</v>
      </c>
      <c r="E19" t="s">
        <v>11</v>
      </c>
      <c r="F19" t="str">
        <f>IF(Cleanedtable[[#This Row],[Age]]&lt;18,"TEEN",IF(Cleanedtable[[#This Row],[Age]]&lt;30,"YOUTH",IF(Cleanedtable[[#This Row],[Age]]&lt;=59,"ADULT",IF(Cleanedtable[[#This Row],[Age]]&gt;=60,"ELDER"))))</f>
        <v>YOUTH</v>
      </c>
      <c r="G19">
        <v>21</v>
      </c>
      <c r="H19">
        <v>0</v>
      </c>
      <c r="I19">
        <v>0</v>
      </c>
      <c r="J19" t="s">
        <v>634</v>
      </c>
      <c r="K19">
        <v>7.2249999999999996</v>
      </c>
      <c r="M19" t="s">
        <v>23</v>
      </c>
      <c r="N19" t="str">
        <f>IF(Cleanedtable[[#This Row],[Age]]&lt;18, "YES","NO")</f>
        <v>NO</v>
      </c>
      <c r="O19" t="str">
        <f>IF(Cleanedtable[[#This Row],[SIBLINGS/SPOUSES]]&gt;0,"YES","NO")</f>
        <v>NO</v>
      </c>
      <c r="P19" t="str">
        <f>IF(Cleanedtable[[#This Row],[Parch]]&gt;0,"YES","NO")</f>
        <v>NO</v>
      </c>
    </row>
    <row r="20" spans="1:16" x14ac:dyDescent="0.35">
      <c r="A20">
        <v>910</v>
      </c>
      <c r="B20">
        <v>1</v>
      </c>
      <c r="C20">
        <v>3</v>
      </c>
      <c r="D20" t="s">
        <v>38</v>
      </c>
      <c r="E20" t="s">
        <v>14</v>
      </c>
      <c r="F20" t="str">
        <f>IF(Cleanedtable[[#This Row],[Age]]&lt;18,"TEEN",IF(Cleanedtable[[#This Row],[Age]]&lt;30,"YOUTH",IF(Cleanedtable[[#This Row],[Age]]&lt;=59,"ADULT",IF(Cleanedtable[[#This Row],[Age]]&gt;=60,"ELDER"))))</f>
        <v>YOUTH</v>
      </c>
      <c r="G20">
        <v>27</v>
      </c>
      <c r="H20">
        <v>1</v>
      </c>
      <c r="I20">
        <v>0</v>
      </c>
      <c r="J20" t="s">
        <v>635</v>
      </c>
      <c r="K20">
        <v>7.9249999999999998</v>
      </c>
      <c r="M20" t="s">
        <v>15</v>
      </c>
      <c r="N20" t="str">
        <f>IF(Cleanedtable[[#This Row],[Age]]&lt;18, "YES","NO")</f>
        <v>NO</v>
      </c>
      <c r="O20" t="str">
        <f>IF(Cleanedtable[[#This Row],[SIBLINGS/SPOUSES]]&gt;0,"YES","NO")</f>
        <v>YES</v>
      </c>
      <c r="P20" t="str">
        <f>IF(Cleanedtable[[#This Row],[Parch]]&gt;0,"YES","NO")</f>
        <v>NO</v>
      </c>
    </row>
    <row r="21" spans="1:16" x14ac:dyDescent="0.35">
      <c r="A21">
        <v>911</v>
      </c>
      <c r="B21">
        <v>1</v>
      </c>
      <c r="C21">
        <v>3</v>
      </c>
      <c r="D21" t="s">
        <v>40</v>
      </c>
      <c r="E21" t="s">
        <v>14</v>
      </c>
      <c r="F21" t="str">
        <f>IF(Cleanedtable[[#This Row],[Age]]&lt;18,"TEEN",IF(Cleanedtable[[#This Row],[Age]]&lt;30,"YOUTH",IF(Cleanedtable[[#This Row],[Age]]&lt;=59,"ADULT",IF(Cleanedtable[[#This Row],[Age]]&gt;=60,"ELDER"))))</f>
        <v>ADULT</v>
      </c>
      <c r="G21">
        <v>45</v>
      </c>
      <c r="H21">
        <v>0</v>
      </c>
      <c r="I21">
        <v>0</v>
      </c>
      <c r="J21" t="s">
        <v>636</v>
      </c>
      <c r="K21">
        <v>7.2249999999999996</v>
      </c>
      <c r="M21" t="s">
        <v>23</v>
      </c>
      <c r="N21" t="str">
        <f>IF(Cleanedtable[[#This Row],[Age]]&lt;18, "YES","NO")</f>
        <v>NO</v>
      </c>
      <c r="O21" t="str">
        <f>IF(Cleanedtable[[#This Row],[SIBLINGS/SPOUSES]]&gt;0,"YES","NO")</f>
        <v>NO</v>
      </c>
      <c r="P21" t="str">
        <f>IF(Cleanedtable[[#This Row],[Parch]]&gt;0,"YES","NO")</f>
        <v>NO</v>
      </c>
    </row>
    <row r="22" spans="1:16" x14ac:dyDescent="0.35">
      <c r="A22">
        <v>912</v>
      </c>
      <c r="B22">
        <v>0</v>
      </c>
      <c r="C22">
        <v>1</v>
      </c>
      <c r="D22" t="s">
        <v>41</v>
      </c>
      <c r="E22" t="s">
        <v>11</v>
      </c>
      <c r="F22" t="str">
        <f>IF(Cleanedtable[[#This Row],[Age]]&lt;18,"TEEN",IF(Cleanedtable[[#This Row],[Age]]&lt;30,"YOUTH",IF(Cleanedtable[[#This Row],[Age]]&lt;=59,"ADULT",IF(Cleanedtable[[#This Row],[Age]]&gt;=60,"ELDER"))))</f>
        <v>ADULT</v>
      </c>
      <c r="G22">
        <v>55</v>
      </c>
      <c r="H22">
        <v>1</v>
      </c>
      <c r="I22">
        <v>0</v>
      </c>
      <c r="J22" t="s">
        <v>637</v>
      </c>
      <c r="K22">
        <v>59.4</v>
      </c>
      <c r="M22" t="s">
        <v>23</v>
      </c>
      <c r="N22" t="str">
        <f>IF(Cleanedtable[[#This Row],[Age]]&lt;18, "YES","NO")</f>
        <v>NO</v>
      </c>
      <c r="O22" t="str">
        <f>IF(Cleanedtable[[#This Row],[SIBLINGS/SPOUSES]]&gt;0,"YES","NO")</f>
        <v>YES</v>
      </c>
      <c r="P22" t="str">
        <f>IF(Cleanedtable[[#This Row],[Parch]]&gt;0,"YES","NO")</f>
        <v>NO</v>
      </c>
    </row>
    <row r="23" spans="1:16" x14ac:dyDescent="0.35">
      <c r="A23">
        <v>913</v>
      </c>
      <c r="B23">
        <v>0</v>
      </c>
      <c r="C23">
        <v>3</v>
      </c>
      <c r="D23" t="s">
        <v>43</v>
      </c>
      <c r="E23" t="s">
        <v>11</v>
      </c>
      <c r="F23" t="str">
        <f>IF(Cleanedtable[[#This Row],[Age]]&lt;18,"TEEN",IF(Cleanedtable[[#This Row],[Age]]&lt;30,"YOUTH",IF(Cleanedtable[[#This Row],[Age]]&lt;=59,"ADULT",IF(Cleanedtable[[#This Row],[Age]]&gt;=60,"ELDER"))))</f>
        <v>TEEN</v>
      </c>
      <c r="G23">
        <v>9</v>
      </c>
      <c r="H23">
        <v>0</v>
      </c>
      <c r="I23">
        <v>1</v>
      </c>
      <c r="J23" t="s">
        <v>44</v>
      </c>
      <c r="K23">
        <v>3.1707999999999998</v>
      </c>
      <c r="M23" t="s">
        <v>15</v>
      </c>
      <c r="N23" t="str">
        <f>IF(Cleanedtable[[#This Row],[Age]]&lt;18, "YES","NO")</f>
        <v>YES</v>
      </c>
      <c r="O23" t="str">
        <f>IF(Cleanedtable[[#This Row],[SIBLINGS/SPOUSES]]&gt;0,"YES","NO")</f>
        <v>NO</v>
      </c>
      <c r="P23" t="str">
        <f>IF(Cleanedtable[[#This Row],[Parch]]&gt;0,"YES","NO")</f>
        <v>YES</v>
      </c>
    </row>
    <row r="24" spans="1:16" x14ac:dyDescent="0.35">
      <c r="A24">
        <v>914</v>
      </c>
      <c r="B24">
        <v>1</v>
      </c>
      <c r="C24">
        <v>1</v>
      </c>
      <c r="D24" t="s">
        <v>45</v>
      </c>
      <c r="E24" t="s">
        <v>14</v>
      </c>
      <c r="F24" t="str">
        <f>IF(Cleanedtable[[#This Row],[Age]]&lt;18,"TEEN",IF(Cleanedtable[[#This Row],[Age]]&lt;30,"YOUTH",IF(Cleanedtable[[#This Row],[Age]]&lt;=59,"ADULT",IF(Cleanedtable[[#This Row],[Age]]&gt;=60,"ELDER"))))</f>
        <v>ADULT</v>
      </c>
      <c r="G24">
        <v>30.2</v>
      </c>
      <c r="H24">
        <v>0</v>
      </c>
      <c r="I24">
        <v>0</v>
      </c>
      <c r="J24" t="s">
        <v>638</v>
      </c>
      <c r="K24">
        <v>31.683299999999999</v>
      </c>
      <c r="M24" t="s">
        <v>15</v>
      </c>
      <c r="N24" t="str">
        <f>IF(Cleanedtable[[#This Row],[Age]]&lt;18, "YES","NO")</f>
        <v>NO</v>
      </c>
      <c r="O24" t="str">
        <f>IF(Cleanedtable[[#This Row],[SIBLINGS/SPOUSES]]&gt;0,"YES","NO")</f>
        <v>NO</v>
      </c>
      <c r="P24" t="str">
        <f>IF(Cleanedtable[[#This Row],[Parch]]&gt;0,"YES","NO")</f>
        <v>NO</v>
      </c>
    </row>
    <row r="25" spans="1:16" x14ac:dyDescent="0.35">
      <c r="A25">
        <v>915</v>
      </c>
      <c r="B25">
        <v>0</v>
      </c>
      <c r="C25">
        <v>1</v>
      </c>
      <c r="D25" t="s">
        <v>47</v>
      </c>
      <c r="E25" t="s">
        <v>11</v>
      </c>
      <c r="F25" t="str">
        <f>IF(Cleanedtable[[#This Row],[Age]]&lt;18,"TEEN",IF(Cleanedtable[[#This Row],[Age]]&lt;30,"YOUTH",IF(Cleanedtable[[#This Row],[Age]]&lt;=59,"ADULT",IF(Cleanedtable[[#This Row],[Age]]&gt;=60,"ELDER"))))</f>
        <v>YOUTH</v>
      </c>
      <c r="G25">
        <v>21</v>
      </c>
      <c r="H25">
        <v>0</v>
      </c>
      <c r="I25">
        <v>1</v>
      </c>
      <c r="J25" t="s">
        <v>639</v>
      </c>
      <c r="K25">
        <v>61.379199999999997</v>
      </c>
      <c r="M25" t="s">
        <v>23</v>
      </c>
      <c r="N25" t="str">
        <f>IF(Cleanedtable[[#This Row],[Age]]&lt;18, "YES","NO")</f>
        <v>NO</v>
      </c>
      <c r="O25" t="str">
        <f>IF(Cleanedtable[[#This Row],[SIBLINGS/SPOUSES]]&gt;0,"YES","NO")</f>
        <v>NO</v>
      </c>
      <c r="P25" t="str">
        <f>IF(Cleanedtable[[#This Row],[Parch]]&gt;0,"YES","NO")</f>
        <v>YES</v>
      </c>
    </row>
    <row r="26" spans="1:16" x14ac:dyDescent="0.35">
      <c r="A26">
        <v>916</v>
      </c>
      <c r="B26">
        <v>1</v>
      </c>
      <c r="C26">
        <v>1</v>
      </c>
      <c r="D26" t="s">
        <v>49</v>
      </c>
      <c r="E26" t="s">
        <v>14</v>
      </c>
      <c r="F26" t="str">
        <f>IF(Cleanedtable[[#This Row],[Age]]&lt;18,"TEEN",IF(Cleanedtable[[#This Row],[Age]]&lt;30,"YOUTH",IF(Cleanedtable[[#This Row],[Age]]&lt;=59,"ADULT",IF(Cleanedtable[[#This Row],[Age]]&gt;=60,"ELDER"))))</f>
        <v>ADULT</v>
      </c>
      <c r="G26">
        <v>48</v>
      </c>
      <c r="H26">
        <v>1</v>
      </c>
      <c r="I26">
        <v>3</v>
      </c>
      <c r="J26" t="s">
        <v>640</v>
      </c>
      <c r="K26">
        <v>262.375</v>
      </c>
      <c r="L26" t="s">
        <v>51</v>
      </c>
      <c r="M26" t="s">
        <v>23</v>
      </c>
      <c r="N26" t="str">
        <f>IF(Cleanedtable[[#This Row],[Age]]&lt;18, "YES","NO")</f>
        <v>NO</v>
      </c>
      <c r="O26" t="str">
        <f>IF(Cleanedtable[[#This Row],[SIBLINGS/SPOUSES]]&gt;0,"YES","NO")</f>
        <v>YES</v>
      </c>
      <c r="P26" t="str">
        <f>IF(Cleanedtable[[#This Row],[Parch]]&gt;0,"YES","NO")</f>
        <v>YES</v>
      </c>
    </row>
    <row r="27" spans="1:16" x14ac:dyDescent="0.35">
      <c r="A27">
        <v>917</v>
      </c>
      <c r="B27">
        <v>0</v>
      </c>
      <c r="C27">
        <v>3</v>
      </c>
      <c r="D27" t="s">
        <v>52</v>
      </c>
      <c r="E27" t="s">
        <v>11</v>
      </c>
      <c r="F27" t="str">
        <f>IF(Cleanedtable[[#This Row],[Age]]&lt;18,"TEEN",IF(Cleanedtable[[#This Row],[Age]]&lt;30,"YOUTH",IF(Cleanedtable[[#This Row],[Age]]&lt;=59,"ADULT",IF(Cleanedtable[[#This Row],[Age]]&gt;=60,"ELDER"))))</f>
        <v>ADULT</v>
      </c>
      <c r="G27">
        <v>50</v>
      </c>
      <c r="H27">
        <v>1</v>
      </c>
      <c r="I27">
        <v>0</v>
      </c>
      <c r="J27" t="s">
        <v>53</v>
      </c>
      <c r="K27">
        <v>14.5</v>
      </c>
      <c r="M27" t="s">
        <v>15</v>
      </c>
      <c r="N27" t="str">
        <f>IF(Cleanedtable[[#This Row],[Age]]&lt;18, "YES","NO")</f>
        <v>NO</v>
      </c>
      <c r="O27" t="str">
        <f>IF(Cleanedtable[[#This Row],[SIBLINGS/SPOUSES]]&gt;0,"YES","NO")</f>
        <v>YES</v>
      </c>
      <c r="P27" t="str">
        <f>IF(Cleanedtable[[#This Row],[Parch]]&gt;0,"YES","NO")</f>
        <v>NO</v>
      </c>
    </row>
    <row r="28" spans="1:16" x14ac:dyDescent="0.35">
      <c r="A28">
        <v>918</v>
      </c>
      <c r="B28">
        <v>1</v>
      </c>
      <c r="C28">
        <v>1</v>
      </c>
      <c r="D28" t="s">
        <v>54</v>
      </c>
      <c r="E28" t="s">
        <v>14</v>
      </c>
      <c r="F28" t="str">
        <f>IF(Cleanedtable[[#This Row],[Age]]&lt;18,"TEEN",IF(Cleanedtable[[#This Row],[Age]]&lt;30,"YOUTH",IF(Cleanedtable[[#This Row],[Age]]&lt;=59,"ADULT",IF(Cleanedtable[[#This Row],[Age]]&gt;=60,"ELDER"))))</f>
        <v>YOUTH</v>
      </c>
      <c r="G28">
        <v>22</v>
      </c>
      <c r="H28">
        <v>0</v>
      </c>
      <c r="I28">
        <v>1</v>
      </c>
      <c r="J28" t="s">
        <v>641</v>
      </c>
      <c r="K28">
        <v>61.979199999999999</v>
      </c>
      <c r="L28" t="s">
        <v>55</v>
      </c>
      <c r="M28" t="s">
        <v>23</v>
      </c>
      <c r="N28" t="str">
        <f>IF(Cleanedtable[[#This Row],[Age]]&lt;18, "YES","NO")</f>
        <v>NO</v>
      </c>
      <c r="O28" t="str">
        <f>IF(Cleanedtable[[#This Row],[SIBLINGS/SPOUSES]]&gt;0,"YES","NO")</f>
        <v>NO</v>
      </c>
      <c r="P28" t="str">
        <f>IF(Cleanedtable[[#This Row],[Parch]]&gt;0,"YES","NO")</f>
        <v>YES</v>
      </c>
    </row>
    <row r="29" spans="1:16" x14ac:dyDescent="0.35">
      <c r="A29">
        <v>919</v>
      </c>
      <c r="B29">
        <v>0</v>
      </c>
      <c r="C29">
        <v>3</v>
      </c>
      <c r="D29" t="s">
        <v>56</v>
      </c>
      <c r="E29" t="s">
        <v>11</v>
      </c>
      <c r="F29" t="str">
        <f>IF(Cleanedtable[[#This Row],[Age]]&lt;18,"TEEN",IF(Cleanedtable[[#This Row],[Age]]&lt;30,"YOUTH",IF(Cleanedtable[[#This Row],[Age]]&lt;=59,"ADULT",IF(Cleanedtable[[#This Row],[Age]]&gt;=60,"ELDER"))))</f>
        <v>YOUTH</v>
      </c>
      <c r="G29">
        <v>22.5</v>
      </c>
      <c r="H29">
        <v>0</v>
      </c>
      <c r="I29">
        <v>0</v>
      </c>
      <c r="J29" t="s">
        <v>642</v>
      </c>
      <c r="K29">
        <v>7.2249999999999996</v>
      </c>
      <c r="M29" t="s">
        <v>23</v>
      </c>
      <c r="N29" t="str">
        <f>IF(Cleanedtable[[#This Row],[Age]]&lt;18, "YES","NO")</f>
        <v>NO</v>
      </c>
      <c r="O29" t="str">
        <f>IF(Cleanedtable[[#This Row],[SIBLINGS/SPOUSES]]&gt;0,"YES","NO")</f>
        <v>NO</v>
      </c>
      <c r="P29" t="str">
        <f>IF(Cleanedtable[[#This Row],[Parch]]&gt;0,"YES","NO")</f>
        <v>NO</v>
      </c>
    </row>
    <row r="30" spans="1:16" x14ac:dyDescent="0.35">
      <c r="A30">
        <v>920</v>
      </c>
      <c r="B30">
        <v>0</v>
      </c>
      <c r="C30">
        <v>1</v>
      </c>
      <c r="D30" t="s">
        <v>57</v>
      </c>
      <c r="E30" t="s">
        <v>11</v>
      </c>
      <c r="F30" t="str">
        <f>IF(Cleanedtable[[#This Row],[Age]]&lt;18,"TEEN",IF(Cleanedtable[[#This Row],[Age]]&lt;30,"YOUTH",IF(Cleanedtable[[#This Row],[Age]]&lt;=59,"ADULT",IF(Cleanedtable[[#This Row],[Age]]&gt;=60,"ELDER"))))</f>
        <v>ADULT</v>
      </c>
      <c r="G30">
        <v>41</v>
      </c>
      <c r="H30">
        <v>0</v>
      </c>
      <c r="I30">
        <v>0</v>
      </c>
      <c r="J30" t="s">
        <v>643</v>
      </c>
      <c r="K30">
        <v>30.5</v>
      </c>
      <c r="L30" t="s">
        <v>58</v>
      </c>
      <c r="M30" t="s">
        <v>15</v>
      </c>
      <c r="N30" t="str">
        <f>IF(Cleanedtable[[#This Row],[Age]]&lt;18, "YES","NO")</f>
        <v>NO</v>
      </c>
      <c r="O30" t="str">
        <f>IF(Cleanedtable[[#This Row],[SIBLINGS/SPOUSES]]&gt;0,"YES","NO")</f>
        <v>NO</v>
      </c>
      <c r="P30" t="str">
        <f>IF(Cleanedtable[[#This Row],[Parch]]&gt;0,"YES","NO")</f>
        <v>NO</v>
      </c>
    </row>
    <row r="31" spans="1:16" x14ac:dyDescent="0.35">
      <c r="A31">
        <v>921</v>
      </c>
      <c r="B31">
        <v>0</v>
      </c>
      <c r="C31">
        <v>3</v>
      </c>
      <c r="D31" t="s">
        <v>59</v>
      </c>
      <c r="E31" t="s">
        <v>11</v>
      </c>
      <c r="F31" t="str">
        <f>IF(Cleanedtable[[#This Row],[Age]]&lt;18,"TEEN",IF(Cleanedtable[[#This Row],[Age]]&lt;30,"YOUTH",IF(Cleanedtable[[#This Row],[Age]]&lt;=59,"ADULT",IF(Cleanedtable[[#This Row],[Age]]&gt;=60,"ELDER"))))</f>
        <v>ADULT</v>
      </c>
      <c r="G31">
        <v>30.2</v>
      </c>
      <c r="H31">
        <v>2</v>
      </c>
      <c r="I31">
        <v>0</v>
      </c>
      <c r="J31" t="s">
        <v>644</v>
      </c>
      <c r="K31">
        <v>21.679200000000002</v>
      </c>
      <c r="M31" t="s">
        <v>23</v>
      </c>
      <c r="N31" t="str">
        <f>IF(Cleanedtable[[#This Row],[Age]]&lt;18, "YES","NO")</f>
        <v>NO</v>
      </c>
      <c r="O31" t="str">
        <f>IF(Cleanedtable[[#This Row],[SIBLINGS/SPOUSES]]&gt;0,"YES","NO")</f>
        <v>YES</v>
      </c>
      <c r="P31" t="str">
        <f>IF(Cleanedtable[[#This Row],[Parch]]&gt;0,"YES","NO")</f>
        <v>NO</v>
      </c>
    </row>
    <row r="32" spans="1:16" x14ac:dyDescent="0.35">
      <c r="A32">
        <v>922</v>
      </c>
      <c r="B32">
        <v>0</v>
      </c>
      <c r="C32">
        <v>2</v>
      </c>
      <c r="D32" t="s">
        <v>60</v>
      </c>
      <c r="E32" t="s">
        <v>11</v>
      </c>
      <c r="F32" t="str">
        <f>IF(Cleanedtable[[#This Row],[Age]]&lt;18,"TEEN",IF(Cleanedtable[[#This Row],[Age]]&lt;30,"YOUTH",IF(Cleanedtable[[#This Row],[Age]]&lt;=59,"ADULT",IF(Cleanedtable[[#This Row],[Age]]&gt;=60,"ELDER"))))</f>
        <v>ADULT</v>
      </c>
      <c r="G32">
        <v>50</v>
      </c>
      <c r="H32">
        <v>1</v>
      </c>
      <c r="I32">
        <v>0</v>
      </c>
      <c r="J32" t="s">
        <v>645</v>
      </c>
      <c r="K32">
        <v>26</v>
      </c>
      <c r="M32" t="s">
        <v>15</v>
      </c>
      <c r="N32" t="str">
        <f>IF(Cleanedtable[[#This Row],[Age]]&lt;18, "YES","NO")</f>
        <v>NO</v>
      </c>
      <c r="O32" t="str">
        <f>IF(Cleanedtable[[#This Row],[SIBLINGS/SPOUSES]]&gt;0,"YES","NO")</f>
        <v>YES</v>
      </c>
      <c r="P32" t="str">
        <f>IF(Cleanedtable[[#This Row],[Parch]]&gt;0,"YES","NO")</f>
        <v>NO</v>
      </c>
    </row>
    <row r="33" spans="1:16" x14ac:dyDescent="0.35">
      <c r="A33">
        <v>923</v>
      </c>
      <c r="B33">
        <v>0</v>
      </c>
      <c r="C33">
        <v>2</v>
      </c>
      <c r="D33" t="s">
        <v>62</v>
      </c>
      <c r="E33" t="s">
        <v>11</v>
      </c>
      <c r="F33" t="str">
        <f>IF(Cleanedtable[[#This Row],[Age]]&lt;18,"TEEN",IF(Cleanedtable[[#This Row],[Age]]&lt;30,"YOUTH",IF(Cleanedtable[[#This Row],[Age]]&lt;=59,"ADULT",IF(Cleanedtable[[#This Row],[Age]]&gt;=60,"ELDER"))))</f>
        <v>YOUTH</v>
      </c>
      <c r="G33">
        <v>24</v>
      </c>
      <c r="H33">
        <v>2</v>
      </c>
      <c r="I33">
        <v>0</v>
      </c>
      <c r="J33" t="s">
        <v>63</v>
      </c>
      <c r="K33">
        <v>31.5</v>
      </c>
      <c r="M33" t="s">
        <v>15</v>
      </c>
      <c r="N33" t="str">
        <f>IF(Cleanedtable[[#This Row],[Age]]&lt;18, "YES","NO")</f>
        <v>NO</v>
      </c>
      <c r="O33" t="str">
        <f>IF(Cleanedtable[[#This Row],[SIBLINGS/SPOUSES]]&gt;0,"YES","NO")</f>
        <v>YES</v>
      </c>
      <c r="P33" t="str">
        <f>IF(Cleanedtable[[#This Row],[Parch]]&gt;0,"YES","NO")</f>
        <v>NO</v>
      </c>
    </row>
    <row r="34" spans="1:16" x14ac:dyDescent="0.35">
      <c r="A34">
        <v>924</v>
      </c>
      <c r="B34">
        <v>1</v>
      </c>
      <c r="C34">
        <v>3</v>
      </c>
      <c r="D34" t="s">
        <v>64</v>
      </c>
      <c r="E34" t="s">
        <v>14</v>
      </c>
      <c r="F34" t="str">
        <f>IF(Cleanedtable[[#This Row],[Age]]&lt;18,"TEEN",IF(Cleanedtable[[#This Row],[Age]]&lt;30,"YOUTH",IF(Cleanedtable[[#This Row],[Age]]&lt;=59,"ADULT",IF(Cleanedtable[[#This Row],[Age]]&gt;=60,"ELDER"))))</f>
        <v>ADULT</v>
      </c>
      <c r="G34">
        <v>33</v>
      </c>
      <c r="H34">
        <v>1</v>
      </c>
      <c r="I34">
        <v>2</v>
      </c>
      <c r="J34" t="s">
        <v>65</v>
      </c>
      <c r="K34">
        <v>20.574999999999999</v>
      </c>
      <c r="M34" t="s">
        <v>15</v>
      </c>
      <c r="N34" t="str">
        <f>IF(Cleanedtable[[#This Row],[Age]]&lt;18, "YES","NO")</f>
        <v>NO</v>
      </c>
      <c r="O34" t="str">
        <f>IF(Cleanedtable[[#This Row],[SIBLINGS/SPOUSES]]&gt;0,"YES","NO")</f>
        <v>YES</v>
      </c>
      <c r="P34" t="str">
        <f>IF(Cleanedtable[[#This Row],[Parch]]&gt;0,"YES","NO")</f>
        <v>YES</v>
      </c>
    </row>
    <row r="35" spans="1:16" x14ac:dyDescent="0.35">
      <c r="A35">
        <v>925</v>
      </c>
      <c r="B35">
        <v>1</v>
      </c>
      <c r="C35">
        <v>3</v>
      </c>
      <c r="D35" t="s">
        <v>66</v>
      </c>
      <c r="E35" t="s">
        <v>14</v>
      </c>
      <c r="F35" t="str">
        <f>IF(Cleanedtable[[#This Row],[Age]]&lt;18,"TEEN",IF(Cleanedtable[[#This Row],[Age]]&lt;30,"YOUTH",IF(Cleanedtable[[#This Row],[Age]]&lt;=59,"ADULT",IF(Cleanedtable[[#This Row],[Age]]&gt;=60,"ELDER"))))</f>
        <v>ADULT</v>
      </c>
      <c r="G35">
        <v>30.2</v>
      </c>
      <c r="H35">
        <v>1</v>
      </c>
      <c r="I35">
        <v>2</v>
      </c>
      <c r="J35" t="s">
        <v>67</v>
      </c>
      <c r="K35">
        <v>23.45</v>
      </c>
      <c r="M35" t="s">
        <v>15</v>
      </c>
      <c r="N35" t="str">
        <f>IF(Cleanedtable[[#This Row],[Age]]&lt;18, "YES","NO")</f>
        <v>NO</v>
      </c>
      <c r="O35" t="str">
        <f>IF(Cleanedtable[[#This Row],[SIBLINGS/SPOUSES]]&gt;0,"YES","NO")</f>
        <v>YES</v>
      </c>
      <c r="P35" t="str">
        <f>IF(Cleanedtable[[#This Row],[Parch]]&gt;0,"YES","NO")</f>
        <v>YES</v>
      </c>
    </row>
    <row r="36" spans="1:16" x14ac:dyDescent="0.35">
      <c r="A36">
        <v>926</v>
      </c>
      <c r="B36">
        <v>0</v>
      </c>
      <c r="C36">
        <v>1</v>
      </c>
      <c r="D36" t="s">
        <v>68</v>
      </c>
      <c r="E36" t="s">
        <v>11</v>
      </c>
      <c r="F36" t="str">
        <f>IF(Cleanedtable[[#This Row],[Age]]&lt;18,"TEEN",IF(Cleanedtable[[#This Row],[Age]]&lt;30,"YOUTH",IF(Cleanedtable[[#This Row],[Age]]&lt;=59,"ADULT",IF(Cleanedtable[[#This Row],[Age]]&gt;=60,"ELDER"))))</f>
        <v>ADULT</v>
      </c>
      <c r="G36">
        <v>30</v>
      </c>
      <c r="H36">
        <v>1</v>
      </c>
      <c r="I36">
        <v>0</v>
      </c>
      <c r="J36" t="s">
        <v>646</v>
      </c>
      <c r="K36">
        <v>57.75</v>
      </c>
      <c r="L36" t="s">
        <v>69</v>
      </c>
      <c r="M36" t="s">
        <v>23</v>
      </c>
      <c r="N36" t="str">
        <f>IF(Cleanedtable[[#This Row],[Age]]&lt;18, "YES","NO")</f>
        <v>NO</v>
      </c>
      <c r="O36" t="str">
        <f>IF(Cleanedtable[[#This Row],[SIBLINGS/SPOUSES]]&gt;0,"YES","NO")</f>
        <v>YES</v>
      </c>
      <c r="P36" t="str">
        <f>IF(Cleanedtable[[#This Row],[Parch]]&gt;0,"YES","NO")</f>
        <v>NO</v>
      </c>
    </row>
    <row r="37" spans="1:16" x14ac:dyDescent="0.35">
      <c r="A37">
        <v>927</v>
      </c>
      <c r="B37">
        <v>0</v>
      </c>
      <c r="C37">
        <v>3</v>
      </c>
      <c r="D37" t="s">
        <v>70</v>
      </c>
      <c r="E37" t="s">
        <v>11</v>
      </c>
      <c r="F37" t="str">
        <f>IF(Cleanedtable[[#This Row],[Age]]&lt;18,"TEEN",IF(Cleanedtable[[#This Row],[Age]]&lt;30,"YOUTH",IF(Cleanedtable[[#This Row],[Age]]&lt;=59,"ADULT",IF(Cleanedtable[[#This Row],[Age]]&gt;=60,"ELDER"))))</f>
        <v>YOUTH</v>
      </c>
      <c r="G37">
        <v>18.5</v>
      </c>
      <c r="H37">
        <v>0</v>
      </c>
      <c r="I37">
        <v>0</v>
      </c>
      <c r="J37" t="s">
        <v>647</v>
      </c>
      <c r="K37">
        <v>7.2291999999999996</v>
      </c>
      <c r="M37" t="s">
        <v>23</v>
      </c>
      <c r="N37" t="str">
        <f>IF(Cleanedtable[[#This Row],[Age]]&lt;18, "YES","NO")</f>
        <v>NO</v>
      </c>
      <c r="O37" t="str">
        <f>IF(Cleanedtable[[#This Row],[SIBLINGS/SPOUSES]]&gt;0,"YES","NO")</f>
        <v>NO</v>
      </c>
      <c r="P37" t="str">
        <f>IF(Cleanedtable[[#This Row],[Parch]]&gt;0,"YES","NO")</f>
        <v>NO</v>
      </c>
    </row>
    <row r="38" spans="1:16" x14ac:dyDescent="0.35">
      <c r="A38">
        <v>928</v>
      </c>
      <c r="B38">
        <v>1</v>
      </c>
      <c r="C38">
        <v>3</v>
      </c>
      <c r="D38" t="s">
        <v>71</v>
      </c>
      <c r="E38" t="s">
        <v>14</v>
      </c>
      <c r="F38" t="str">
        <f>IF(Cleanedtable[[#This Row],[Age]]&lt;18,"TEEN",IF(Cleanedtable[[#This Row],[Age]]&lt;30,"YOUTH",IF(Cleanedtable[[#This Row],[Age]]&lt;=59,"ADULT",IF(Cleanedtable[[#This Row],[Age]]&gt;=60,"ELDER"))))</f>
        <v>ADULT</v>
      </c>
      <c r="G38">
        <v>30.2</v>
      </c>
      <c r="H38">
        <v>0</v>
      </c>
      <c r="I38">
        <v>0</v>
      </c>
      <c r="J38" t="s">
        <v>648</v>
      </c>
      <c r="K38">
        <v>8.0500000000000007</v>
      </c>
      <c r="M38" t="s">
        <v>15</v>
      </c>
      <c r="N38" t="str">
        <f>IF(Cleanedtable[[#This Row],[Age]]&lt;18, "YES","NO")</f>
        <v>NO</v>
      </c>
      <c r="O38" t="str">
        <f>IF(Cleanedtable[[#This Row],[SIBLINGS/SPOUSES]]&gt;0,"YES","NO")</f>
        <v>NO</v>
      </c>
      <c r="P38" t="str">
        <f>IF(Cleanedtable[[#This Row],[Parch]]&gt;0,"YES","NO")</f>
        <v>NO</v>
      </c>
    </row>
    <row r="39" spans="1:16" x14ac:dyDescent="0.35">
      <c r="A39">
        <v>929</v>
      </c>
      <c r="B39">
        <v>1</v>
      </c>
      <c r="C39">
        <v>3</v>
      </c>
      <c r="D39" t="s">
        <v>72</v>
      </c>
      <c r="E39" t="s">
        <v>14</v>
      </c>
      <c r="F39" t="str">
        <f>IF(Cleanedtable[[#This Row],[Age]]&lt;18,"TEEN",IF(Cleanedtable[[#This Row],[Age]]&lt;30,"YOUTH",IF(Cleanedtable[[#This Row],[Age]]&lt;=59,"ADULT",IF(Cleanedtable[[#This Row],[Age]]&gt;=60,"ELDER"))))</f>
        <v>YOUTH</v>
      </c>
      <c r="G39">
        <v>21</v>
      </c>
      <c r="H39">
        <v>0</v>
      </c>
      <c r="I39">
        <v>0</v>
      </c>
      <c r="J39" t="s">
        <v>649</v>
      </c>
      <c r="K39">
        <v>8.6624999999999996</v>
      </c>
      <c r="M39" t="s">
        <v>15</v>
      </c>
      <c r="N39" t="str">
        <f>IF(Cleanedtable[[#This Row],[Age]]&lt;18, "YES","NO")</f>
        <v>NO</v>
      </c>
      <c r="O39" t="str">
        <f>IF(Cleanedtable[[#This Row],[SIBLINGS/SPOUSES]]&gt;0,"YES","NO")</f>
        <v>NO</v>
      </c>
      <c r="P39" t="str">
        <f>IF(Cleanedtable[[#This Row],[Parch]]&gt;0,"YES","NO")</f>
        <v>NO</v>
      </c>
    </row>
    <row r="40" spans="1:16" x14ac:dyDescent="0.35">
      <c r="A40">
        <v>930</v>
      </c>
      <c r="B40">
        <v>0</v>
      </c>
      <c r="C40">
        <v>3</v>
      </c>
      <c r="D40" t="s">
        <v>73</v>
      </c>
      <c r="E40" t="s">
        <v>11</v>
      </c>
      <c r="F40" t="str">
        <f>IF(Cleanedtable[[#This Row],[Age]]&lt;18,"TEEN",IF(Cleanedtable[[#This Row],[Age]]&lt;30,"YOUTH",IF(Cleanedtable[[#This Row],[Age]]&lt;=59,"ADULT",IF(Cleanedtable[[#This Row],[Age]]&gt;=60,"ELDER"))))</f>
        <v>YOUTH</v>
      </c>
      <c r="G40">
        <v>25</v>
      </c>
      <c r="H40">
        <v>0</v>
      </c>
      <c r="I40">
        <v>0</v>
      </c>
      <c r="J40" t="s">
        <v>650</v>
      </c>
      <c r="K40">
        <v>9.5</v>
      </c>
      <c r="M40" t="s">
        <v>15</v>
      </c>
      <c r="N40" t="str">
        <f>IF(Cleanedtable[[#This Row],[Age]]&lt;18, "YES","NO")</f>
        <v>NO</v>
      </c>
      <c r="O40" t="str">
        <f>IF(Cleanedtable[[#This Row],[SIBLINGS/SPOUSES]]&gt;0,"YES","NO")</f>
        <v>NO</v>
      </c>
      <c r="P40" t="str">
        <f>IF(Cleanedtable[[#This Row],[Parch]]&gt;0,"YES","NO")</f>
        <v>NO</v>
      </c>
    </row>
    <row r="41" spans="1:16" x14ac:dyDescent="0.35">
      <c r="A41">
        <v>931</v>
      </c>
      <c r="B41">
        <v>0</v>
      </c>
      <c r="C41">
        <v>3</v>
      </c>
      <c r="D41" t="s">
        <v>74</v>
      </c>
      <c r="E41" t="s">
        <v>11</v>
      </c>
      <c r="F41" t="str">
        <f>IF(Cleanedtable[[#This Row],[Age]]&lt;18,"TEEN",IF(Cleanedtable[[#This Row],[Age]]&lt;30,"YOUTH",IF(Cleanedtable[[#This Row],[Age]]&lt;=59,"ADULT",IF(Cleanedtable[[#This Row],[Age]]&gt;=60,"ELDER"))))</f>
        <v>ADULT</v>
      </c>
      <c r="G41">
        <v>30.2</v>
      </c>
      <c r="H41">
        <v>0</v>
      </c>
      <c r="I41">
        <v>0</v>
      </c>
      <c r="J41" t="s">
        <v>651</v>
      </c>
      <c r="K41">
        <v>56.495800000000003</v>
      </c>
      <c r="M41" t="s">
        <v>15</v>
      </c>
      <c r="N41" t="str">
        <f>IF(Cleanedtable[[#This Row],[Age]]&lt;18, "YES","NO")</f>
        <v>NO</v>
      </c>
      <c r="O41" t="str">
        <f>IF(Cleanedtable[[#This Row],[SIBLINGS/SPOUSES]]&gt;0,"YES","NO")</f>
        <v>NO</v>
      </c>
      <c r="P41" t="str">
        <f>IF(Cleanedtable[[#This Row],[Parch]]&gt;0,"YES","NO")</f>
        <v>NO</v>
      </c>
    </row>
    <row r="42" spans="1:16" x14ac:dyDescent="0.35">
      <c r="A42">
        <v>932</v>
      </c>
      <c r="B42">
        <v>0</v>
      </c>
      <c r="C42">
        <v>3</v>
      </c>
      <c r="D42" t="s">
        <v>75</v>
      </c>
      <c r="E42" t="s">
        <v>11</v>
      </c>
      <c r="F42" t="str">
        <f>IF(Cleanedtable[[#This Row],[Age]]&lt;18,"TEEN",IF(Cleanedtable[[#This Row],[Age]]&lt;30,"YOUTH",IF(Cleanedtable[[#This Row],[Age]]&lt;=59,"ADULT",IF(Cleanedtable[[#This Row],[Age]]&gt;=60,"ELDER"))))</f>
        <v>ADULT</v>
      </c>
      <c r="G42">
        <v>39</v>
      </c>
      <c r="H42">
        <v>0</v>
      </c>
      <c r="I42">
        <v>1</v>
      </c>
      <c r="J42" t="s">
        <v>652</v>
      </c>
      <c r="K42">
        <v>13.416700000000001</v>
      </c>
      <c r="M42" t="s">
        <v>23</v>
      </c>
      <c r="N42" t="str">
        <f>IF(Cleanedtable[[#This Row],[Age]]&lt;18, "YES","NO")</f>
        <v>NO</v>
      </c>
      <c r="O42" t="str">
        <f>IF(Cleanedtable[[#This Row],[SIBLINGS/SPOUSES]]&gt;0,"YES","NO")</f>
        <v>NO</v>
      </c>
      <c r="P42" t="str">
        <f>IF(Cleanedtable[[#This Row],[Parch]]&gt;0,"YES","NO")</f>
        <v>YES</v>
      </c>
    </row>
    <row r="43" spans="1:16" x14ac:dyDescent="0.35">
      <c r="A43">
        <v>933</v>
      </c>
      <c r="B43">
        <v>0</v>
      </c>
      <c r="C43">
        <v>1</v>
      </c>
      <c r="D43" t="s">
        <v>76</v>
      </c>
      <c r="E43" t="s">
        <v>11</v>
      </c>
      <c r="F43" t="str">
        <f>IF(Cleanedtable[[#This Row],[Age]]&lt;18,"TEEN",IF(Cleanedtable[[#This Row],[Age]]&lt;30,"YOUTH",IF(Cleanedtable[[#This Row],[Age]]&lt;=59,"ADULT",IF(Cleanedtable[[#This Row],[Age]]&gt;=60,"ELDER"))))</f>
        <v>ADULT</v>
      </c>
      <c r="G43">
        <v>30.2</v>
      </c>
      <c r="H43">
        <v>0</v>
      </c>
      <c r="I43">
        <v>0</v>
      </c>
      <c r="J43" t="s">
        <v>653</v>
      </c>
      <c r="K43">
        <v>26.55</v>
      </c>
      <c r="L43" t="s">
        <v>77</v>
      </c>
      <c r="M43" t="s">
        <v>15</v>
      </c>
      <c r="N43" t="str">
        <f>IF(Cleanedtable[[#This Row],[Age]]&lt;18, "YES","NO")</f>
        <v>NO</v>
      </c>
      <c r="O43" t="str">
        <f>IF(Cleanedtable[[#This Row],[SIBLINGS/SPOUSES]]&gt;0,"YES","NO")</f>
        <v>NO</v>
      </c>
      <c r="P43" t="str">
        <f>IF(Cleanedtable[[#This Row],[Parch]]&gt;0,"YES","NO")</f>
        <v>NO</v>
      </c>
    </row>
    <row r="44" spans="1:16" x14ac:dyDescent="0.35">
      <c r="A44">
        <v>934</v>
      </c>
      <c r="B44">
        <v>0</v>
      </c>
      <c r="C44">
        <v>3</v>
      </c>
      <c r="D44" t="s">
        <v>78</v>
      </c>
      <c r="E44" t="s">
        <v>11</v>
      </c>
      <c r="F44" t="str">
        <f>IF(Cleanedtable[[#This Row],[Age]]&lt;18,"TEEN",IF(Cleanedtable[[#This Row],[Age]]&lt;30,"YOUTH",IF(Cleanedtable[[#This Row],[Age]]&lt;=59,"ADULT",IF(Cleanedtable[[#This Row],[Age]]&gt;=60,"ELDER"))))</f>
        <v>ADULT</v>
      </c>
      <c r="G44">
        <v>41</v>
      </c>
      <c r="H44">
        <v>0</v>
      </c>
      <c r="I44">
        <v>0</v>
      </c>
      <c r="J44" t="s">
        <v>654</v>
      </c>
      <c r="K44">
        <v>7.85</v>
      </c>
      <c r="M44" t="s">
        <v>15</v>
      </c>
      <c r="N44" t="str">
        <f>IF(Cleanedtable[[#This Row],[Age]]&lt;18, "YES","NO")</f>
        <v>NO</v>
      </c>
      <c r="O44" t="str">
        <f>IF(Cleanedtable[[#This Row],[SIBLINGS/SPOUSES]]&gt;0,"YES","NO")</f>
        <v>NO</v>
      </c>
      <c r="P44" t="str">
        <f>IF(Cleanedtable[[#This Row],[Parch]]&gt;0,"YES","NO")</f>
        <v>NO</v>
      </c>
    </row>
    <row r="45" spans="1:16" x14ac:dyDescent="0.35">
      <c r="A45">
        <v>935</v>
      </c>
      <c r="B45">
        <v>1</v>
      </c>
      <c r="C45">
        <v>2</v>
      </c>
      <c r="D45" t="s">
        <v>80</v>
      </c>
      <c r="E45" t="s">
        <v>14</v>
      </c>
      <c r="F45" t="str">
        <f>IF(Cleanedtable[[#This Row],[Age]]&lt;18,"TEEN",IF(Cleanedtable[[#This Row],[Age]]&lt;30,"YOUTH",IF(Cleanedtable[[#This Row],[Age]]&lt;=59,"ADULT",IF(Cleanedtable[[#This Row],[Age]]&gt;=60,"ELDER"))))</f>
        <v>ADULT</v>
      </c>
      <c r="G45">
        <v>30</v>
      </c>
      <c r="H45">
        <v>0</v>
      </c>
      <c r="I45">
        <v>0</v>
      </c>
      <c r="J45" t="s">
        <v>655</v>
      </c>
      <c r="K45">
        <v>13</v>
      </c>
      <c r="M45" t="s">
        <v>15</v>
      </c>
      <c r="N45" t="str">
        <f>IF(Cleanedtable[[#This Row],[Age]]&lt;18, "YES","NO")</f>
        <v>NO</v>
      </c>
      <c r="O45" t="str">
        <f>IF(Cleanedtable[[#This Row],[SIBLINGS/SPOUSES]]&gt;0,"YES","NO")</f>
        <v>NO</v>
      </c>
      <c r="P45" t="str">
        <f>IF(Cleanedtable[[#This Row],[Parch]]&gt;0,"YES","NO")</f>
        <v>NO</v>
      </c>
    </row>
    <row r="46" spans="1:16" x14ac:dyDescent="0.35">
      <c r="A46">
        <v>936</v>
      </c>
      <c r="B46">
        <v>1</v>
      </c>
      <c r="C46">
        <v>1</v>
      </c>
      <c r="D46" t="s">
        <v>81</v>
      </c>
      <c r="E46" t="s">
        <v>14</v>
      </c>
      <c r="F46" t="str">
        <f>IF(Cleanedtable[[#This Row],[Age]]&lt;18,"TEEN",IF(Cleanedtable[[#This Row],[Age]]&lt;30,"YOUTH",IF(Cleanedtable[[#This Row],[Age]]&lt;=59,"ADULT",IF(Cleanedtable[[#This Row],[Age]]&gt;=60,"ELDER"))))</f>
        <v>ADULT</v>
      </c>
      <c r="G46">
        <v>45</v>
      </c>
      <c r="H46">
        <v>1</v>
      </c>
      <c r="I46">
        <v>0</v>
      </c>
      <c r="J46" t="s">
        <v>656</v>
      </c>
      <c r="K46">
        <v>52.554200000000002</v>
      </c>
      <c r="L46" t="s">
        <v>82</v>
      </c>
      <c r="M46" t="s">
        <v>15</v>
      </c>
      <c r="N46" t="str">
        <f>IF(Cleanedtable[[#This Row],[Age]]&lt;18, "YES","NO")</f>
        <v>NO</v>
      </c>
      <c r="O46" t="str">
        <f>IF(Cleanedtable[[#This Row],[SIBLINGS/SPOUSES]]&gt;0,"YES","NO")</f>
        <v>YES</v>
      </c>
      <c r="P46" t="str">
        <f>IF(Cleanedtable[[#This Row],[Parch]]&gt;0,"YES","NO")</f>
        <v>NO</v>
      </c>
    </row>
    <row r="47" spans="1:16" x14ac:dyDescent="0.35">
      <c r="A47">
        <v>937</v>
      </c>
      <c r="B47">
        <v>0</v>
      </c>
      <c r="C47">
        <v>3</v>
      </c>
      <c r="D47" t="s">
        <v>83</v>
      </c>
      <c r="E47" t="s">
        <v>11</v>
      </c>
      <c r="F47" t="str">
        <f>IF(Cleanedtable[[#This Row],[Age]]&lt;18,"TEEN",IF(Cleanedtable[[#This Row],[Age]]&lt;30,"YOUTH",IF(Cleanedtable[[#This Row],[Age]]&lt;=59,"ADULT",IF(Cleanedtable[[#This Row],[Age]]&gt;=60,"ELDER"))))</f>
        <v>YOUTH</v>
      </c>
      <c r="G47">
        <v>25</v>
      </c>
      <c r="H47">
        <v>0</v>
      </c>
      <c r="I47">
        <v>0</v>
      </c>
      <c r="J47" t="s">
        <v>657</v>
      </c>
      <c r="K47">
        <v>7.9249999999999998</v>
      </c>
      <c r="M47" t="s">
        <v>15</v>
      </c>
      <c r="N47" t="str">
        <f>IF(Cleanedtable[[#This Row],[Age]]&lt;18, "YES","NO")</f>
        <v>NO</v>
      </c>
      <c r="O47" t="str">
        <f>IF(Cleanedtable[[#This Row],[SIBLINGS/SPOUSES]]&gt;0,"YES","NO")</f>
        <v>NO</v>
      </c>
      <c r="P47" t="str">
        <f>IF(Cleanedtable[[#This Row],[Parch]]&gt;0,"YES","NO")</f>
        <v>NO</v>
      </c>
    </row>
    <row r="48" spans="1:16" x14ac:dyDescent="0.35">
      <c r="A48">
        <v>938</v>
      </c>
      <c r="B48">
        <v>0</v>
      </c>
      <c r="C48">
        <v>1</v>
      </c>
      <c r="D48" t="s">
        <v>85</v>
      </c>
      <c r="E48" t="s">
        <v>11</v>
      </c>
      <c r="F48" t="str">
        <f>IF(Cleanedtable[[#This Row],[Age]]&lt;18,"TEEN",IF(Cleanedtable[[#This Row],[Age]]&lt;30,"YOUTH",IF(Cleanedtable[[#This Row],[Age]]&lt;=59,"ADULT",IF(Cleanedtable[[#This Row],[Age]]&gt;=60,"ELDER"))))</f>
        <v>ADULT</v>
      </c>
      <c r="G48">
        <v>45</v>
      </c>
      <c r="H48">
        <v>0</v>
      </c>
      <c r="I48">
        <v>0</v>
      </c>
      <c r="J48" t="s">
        <v>658</v>
      </c>
      <c r="K48">
        <v>29.7</v>
      </c>
      <c r="L48" t="s">
        <v>87</v>
      </c>
      <c r="M48" t="s">
        <v>23</v>
      </c>
      <c r="N48" t="str">
        <f>IF(Cleanedtable[[#This Row],[Age]]&lt;18, "YES","NO")</f>
        <v>NO</v>
      </c>
      <c r="O48" t="str">
        <f>IF(Cleanedtable[[#This Row],[SIBLINGS/SPOUSES]]&gt;0,"YES","NO")</f>
        <v>NO</v>
      </c>
      <c r="P48" t="str">
        <f>IF(Cleanedtable[[#This Row],[Parch]]&gt;0,"YES","NO")</f>
        <v>NO</v>
      </c>
    </row>
    <row r="49" spans="1:16" x14ac:dyDescent="0.35">
      <c r="A49">
        <v>939</v>
      </c>
      <c r="B49">
        <v>0</v>
      </c>
      <c r="C49">
        <v>3</v>
      </c>
      <c r="D49" t="s">
        <v>88</v>
      </c>
      <c r="E49" t="s">
        <v>11</v>
      </c>
      <c r="F49" t="str">
        <f>IF(Cleanedtable[[#This Row],[Age]]&lt;18,"TEEN",IF(Cleanedtable[[#This Row],[Age]]&lt;30,"YOUTH",IF(Cleanedtable[[#This Row],[Age]]&lt;=59,"ADULT",IF(Cleanedtable[[#This Row],[Age]]&gt;=60,"ELDER"))))</f>
        <v>ADULT</v>
      </c>
      <c r="G49">
        <v>30.2</v>
      </c>
      <c r="H49">
        <v>0</v>
      </c>
      <c r="I49">
        <v>0</v>
      </c>
      <c r="J49" t="s">
        <v>659</v>
      </c>
      <c r="K49">
        <v>7.75</v>
      </c>
      <c r="M49" t="s">
        <v>12</v>
      </c>
      <c r="N49" t="str">
        <f>IF(Cleanedtable[[#This Row],[Age]]&lt;18, "YES","NO")</f>
        <v>NO</v>
      </c>
      <c r="O49" t="str">
        <f>IF(Cleanedtable[[#This Row],[SIBLINGS/SPOUSES]]&gt;0,"YES","NO")</f>
        <v>NO</v>
      </c>
      <c r="P49" t="str">
        <f>IF(Cleanedtable[[#This Row],[Parch]]&gt;0,"YES","NO")</f>
        <v>NO</v>
      </c>
    </row>
    <row r="50" spans="1:16" x14ac:dyDescent="0.35">
      <c r="A50">
        <v>940</v>
      </c>
      <c r="B50">
        <v>1</v>
      </c>
      <c r="C50">
        <v>1</v>
      </c>
      <c r="D50" t="s">
        <v>89</v>
      </c>
      <c r="E50" t="s">
        <v>14</v>
      </c>
      <c r="F50" t="str">
        <f>IF(Cleanedtable[[#This Row],[Age]]&lt;18,"TEEN",IF(Cleanedtable[[#This Row],[Age]]&lt;30,"YOUTH",IF(Cleanedtable[[#This Row],[Age]]&lt;=59,"ADULT",IF(Cleanedtable[[#This Row],[Age]]&gt;=60,"ELDER"))))</f>
        <v>ELDER</v>
      </c>
      <c r="G50">
        <v>60</v>
      </c>
      <c r="H50">
        <v>0</v>
      </c>
      <c r="I50">
        <v>0</v>
      </c>
      <c r="J50" t="s">
        <v>660</v>
      </c>
      <c r="K50">
        <v>76.291700000000006</v>
      </c>
      <c r="L50" t="s">
        <v>90</v>
      </c>
      <c r="M50" t="s">
        <v>23</v>
      </c>
      <c r="N50" t="str">
        <f>IF(Cleanedtable[[#This Row],[Age]]&lt;18, "YES","NO")</f>
        <v>NO</v>
      </c>
      <c r="O50" t="str">
        <f>IF(Cleanedtable[[#This Row],[SIBLINGS/SPOUSES]]&gt;0,"YES","NO")</f>
        <v>NO</v>
      </c>
      <c r="P50" t="str">
        <f>IF(Cleanedtable[[#This Row],[Parch]]&gt;0,"YES","NO")</f>
        <v>NO</v>
      </c>
    </row>
    <row r="51" spans="1:16" x14ac:dyDescent="0.35">
      <c r="A51">
        <v>941</v>
      </c>
      <c r="B51">
        <v>1</v>
      </c>
      <c r="C51">
        <v>3</v>
      </c>
      <c r="D51" t="s">
        <v>91</v>
      </c>
      <c r="E51" t="s">
        <v>14</v>
      </c>
      <c r="F51" t="str">
        <f>IF(Cleanedtable[[#This Row],[Age]]&lt;18,"TEEN",IF(Cleanedtable[[#This Row],[Age]]&lt;30,"YOUTH",IF(Cleanedtable[[#This Row],[Age]]&lt;=59,"ADULT",IF(Cleanedtable[[#This Row],[Age]]&gt;=60,"ELDER"))))</f>
        <v>ADULT</v>
      </c>
      <c r="G51">
        <v>36</v>
      </c>
      <c r="H51">
        <v>0</v>
      </c>
      <c r="I51">
        <v>2</v>
      </c>
      <c r="J51" t="s">
        <v>92</v>
      </c>
      <c r="K51">
        <v>15.9</v>
      </c>
      <c r="M51" t="s">
        <v>15</v>
      </c>
      <c r="N51" t="str">
        <f>IF(Cleanedtable[[#This Row],[Age]]&lt;18, "YES","NO")</f>
        <v>NO</v>
      </c>
      <c r="O51" t="str">
        <f>IF(Cleanedtable[[#This Row],[SIBLINGS/SPOUSES]]&gt;0,"YES","NO")</f>
        <v>NO</v>
      </c>
      <c r="P51" t="str">
        <f>IF(Cleanedtable[[#This Row],[Parch]]&gt;0,"YES","NO")</f>
        <v>YES</v>
      </c>
    </row>
    <row r="52" spans="1:16" x14ac:dyDescent="0.35">
      <c r="A52">
        <v>942</v>
      </c>
      <c r="B52">
        <v>0</v>
      </c>
      <c r="C52">
        <v>1</v>
      </c>
      <c r="D52" t="s">
        <v>93</v>
      </c>
      <c r="E52" t="s">
        <v>11</v>
      </c>
      <c r="F52" t="str">
        <f>IF(Cleanedtable[[#This Row],[Age]]&lt;18,"TEEN",IF(Cleanedtable[[#This Row],[Age]]&lt;30,"YOUTH",IF(Cleanedtable[[#This Row],[Age]]&lt;=59,"ADULT",IF(Cleanedtable[[#This Row],[Age]]&gt;=60,"ELDER"))))</f>
        <v>YOUTH</v>
      </c>
      <c r="G52">
        <v>24</v>
      </c>
      <c r="H52">
        <v>1</v>
      </c>
      <c r="I52">
        <v>0</v>
      </c>
      <c r="J52" t="s">
        <v>661</v>
      </c>
      <c r="K52">
        <v>60</v>
      </c>
      <c r="L52" t="s">
        <v>94</v>
      </c>
      <c r="M52" t="s">
        <v>15</v>
      </c>
      <c r="N52" t="str">
        <f>IF(Cleanedtable[[#This Row],[Age]]&lt;18, "YES","NO")</f>
        <v>NO</v>
      </c>
      <c r="O52" t="str">
        <f>IF(Cleanedtable[[#This Row],[SIBLINGS/SPOUSES]]&gt;0,"YES","NO")</f>
        <v>YES</v>
      </c>
      <c r="P52" t="str">
        <f>IF(Cleanedtable[[#This Row],[Parch]]&gt;0,"YES","NO")</f>
        <v>NO</v>
      </c>
    </row>
    <row r="53" spans="1:16" x14ac:dyDescent="0.35">
      <c r="A53">
        <v>943</v>
      </c>
      <c r="B53">
        <v>0</v>
      </c>
      <c r="C53">
        <v>2</v>
      </c>
      <c r="D53" t="s">
        <v>95</v>
      </c>
      <c r="E53" t="s">
        <v>11</v>
      </c>
      <c r="F53" t="str">
        <f>IF(Cleanedtable[[#This Row],[Age]]&lt;18,"TEEN",IF(Cleanedtable[[#This Row],[Age]]&lt;30,"YOUTH",IF(Cleanedtable[[#This Row],[Age]]&lt;=59,"ADULT",IF(Cleanedtable[[#This Row],[Age]]&gt;=60,"ELDER"))))</f>
        <v>YOUTH</v>
      </c>
      <c r="G53">
        <v>27</v>
      </c>
      <c r="H53">
        <v>0</v>
      </c>
      <c r="I53">
        <v>0</v>
      </c>
      <c r="J53" t="s">
        <v>662</v>
      </c>
      <c r="K53">
        <v>15.033300000000001</v>
      </c>
      <c r="M53" t="s">
        <v>23</v>
      </c>
      <c r="N53" t="str">
        <f>IF(Cleanedtable[[#This Row],[Age]]&lt;18, "YES","NO")</f>
        <v>NO</v>
      </c>
      <c r="O53" t="str">
        <f>IF(Cleanedtable[[#This Row],[SIBLINGS/SPOUSES]]&gt;0,"YES","NO")</f>
        <v>NO</v>
      </c>
      <c r="P53" t="str">
        <f>IF(Cleanedtable[[#This Row],[Parch]]&gt;0,"YES","NO")</f>
        <v>NO</v>
      </c>
    </row>
    <row r="54" spans="1:16" x14ac:dyDescent="0.35">
      <c r="A54">
        <v>944</v>
      </c>
      <c r="B54">
        <v>1</v>
      </c>
      <c r="C54">
        <v>2</v>
      </c>
      <c r="D54" t="s">
        <v>97</v>
      </c>
      <c r="E54" t="s">
        <v>14</v>
      </c>
      <c r="F54" t="str">
        <f>IF(Cleanedtable[[#This Row],[Age]]&lt;18,"TEEN",IF(Cleanedtable[[#This Row],[Age]]&lt;30,"YOUTH",IF(Cleanedtable[[#This Row],[Age]]&lt;=59,"ADULT",IF(Cleanedtable[[#This Row],[Age]]&gt;=60,"ELDER"))))</f>
        <v>YOUTH</v>
      </c>
      <c r="G54">
        <v>20</v>
      </c>
      <c r="H54">
        <v>2</v>
      </c>
      <c r="I54">
        <v>1</v>
      </c>
      <c r="J54" t="s">
        <v>663</v>
      </c>
      <c r="K54">
        <v>23</v>
      </c>
      <c r="M54" t="s">
        <v>15</v>
      </c>
      <c r="N54" t="str">
        <f>IF(Cleanedtable[[#This Row],[Age]]&lt;18, "YES","NO")</f>
        <v>NO</v>
      </c>
      <c r="O54" t="str">
        <f>IF(Cleanedtable[[#This Row],[SIBLINGS/SPOUSES]]&gt;0,"YES","NO")</f>
        <v>YES</v>
      </c>
      <c r="P54" t="str">
        <f>IF(Cleanedtable[[#This Row],[Parch]]&gt;0,"YES","NO")</f>
        <v>YES</v>
      </c>
    </row>
    <row r="55" spans="1:16" x14ac:dyDescent="0.35">
      <c r="A55">
        <v>945</v>
      </c>
      <c r="B55">
        <v>1</v>
      </c>
      <c r="C55">
        <v>1</v>
      </c>
      <c r="D55" t="s">
        <v>98</v>
      </c>
      <c r="E55" t="s">
        <v>14</v>
      </c>
      <c r="F55" t="str">
        <f>IF(Cleanedtable[[#This Row],[Age]]&lt;18,"TEEN",IF(Cleanedtable[[#This Row],[Age]]&lt;30,"YOUTH",IF(Cleanedtable[[#This Row],[Age]]&lt;=59,"ADULT",IF(Cleanedtable[[#This Row],[Age]]&gt;=60,"ELDER"))))</f>
        <v>YOUTH</v>
      </c>
      <c r="G55">
        <v>28</v>
      </c>
      <c r="H55">
        <v>3</v>
      </c>
      <c r="I55">
        <v>2</v>
      </c>
      <c r="J55" t="s">
        <v>664</v>
      </c>
      <c r="K55">
        <v>263</v>
      </c>
      <c r="L55" t="s">
        <v>99</v>
      </c>
      <c r="M55" t="s">
        <v>15</v>
      </c>
      <c r="N55" t="str">
        <f>IF(Cleanedtable[[#This Row],[Age]]&lt;18, "YES","NO")</f>
        <v>NO</v>
      </c>
      <c r="O55" t="str">
        <f>IF(Cleanedtable[[#This Row],[SIBLINGS/SPOUSES]]&gt;0,"YES","NO")</f>
        <v>YES</v>
      </c>
      <c r="P55" t="str">
        <f>IF(Cleanedtable[[#This Row],[Parch]]&gt;0,"YES","NO")</f>
        <v>YES</v>
      </c>
    </row>
    <row r="56" spans="1:16" x14ac:dyDescent="0.35">
      <c r="A56">
        <v>946</v>
      </c>
      <c r="B56">
        <v>0</v>
      </c>
      <c r="C56">
        <v>2</v>
      </c>
      <c r="D56" t="s">
        <v>100</v>
      </c>
      <c r="E56" t="s">
        <v>11</v>
      </c>
      <c r="F56" t="str">
        <f>IF(Cleanedtable[[#This Row],[Age]]&lt;18,"TEEN",IF(Cleanedtable[[#This Row],[Age]]&lt;30,"YOUTH",IF(Cleanedtable[[#This Row],[Age]]&lt;=59,"ADULT",IF(Cleanedtable[[#This Row],[Age]]&gt;=60,"ELDER"))))</f>
        <v>ADULT</v>
      </c>
      <c r="G56">
        <v>30.2</v>
      </c>
      <c r="H56">
        <v>0</v>
      </c>
      <c r="I56">
        <v>0</v>
      </c>
      <c r="J56" t="s">
        <v>665</v>
      </c>
      <c r="K56">
        <v>15.5792</v>
      </c>
      <c r="M56" t="s">
        <v>23</v>
      </c>
      <c r="N56" t="str">
        <f>IF(Cleanedtable[[#This Row],[Age]]&lt;18, "YES","NO")</f>
        <v>NO</v>
      </c>
      <c r="O56" t="str">
        <f>IF(Cleanedtable[[#This Row],[SIBLINGS/SPOUSES]]&gt;0,"YES","NO")</f>
        <v>NO</v>
      </c>
      <c r="P56" t="str">
        <f>IF(Cleanedtable[[#This Row],[Parch]]&gt;0,"YES","NO")</f>
        <v>NO</v>
      </c>
    </row>
    <row r="57" spans="1:16" x14ac:dyDescent="0.35">
      <c r="A57">
        <v>947</v>
      </c>
      <c r="B57">
        <v>0</v>
      </c>
      <c r="C57">
        <v>3</v>
      </c>
      <c r="D57" t="s">
        <v>102</v>
      </c>
      <c r="E57" t="s">
        <v>11</v>
      </c>
      <c r="F57" t="str">
        <f>IF(Cleanedtable[[#This Row],[Age]]&lt;18,"TEEN",IF(Cleanedtable[[#This Row],[Age]]&lt;30,"YOUTH",IF(Cleanedtable[[#This Row],[Age]]&lt;=59,"ADULT",IF(Cleanedtable[[#This Row],[Age]]&gt;=60,"ELDER"))))</f>
        <v>TEEN</v>
      </c>
      <c r="G57">
        <v>10</v>
      </c>
      <c r="H57">
        <v>4</v>
      </c>
      <c r="I57">
        <v>1</v>
      </c>
      <c r="J57" t="s">
        <v>666</v>
      </c>
      <c r="K57">
        <v>29.125</v>
      </c>
      <c r="M57" t="s">
        <v>12</v>
      </c>
      <c r="N57" t="str">
        <f>IF(Cleanedtable[[#This Row],[Age]]&lt;18, "YES","NO")</f>
        <v>YES</v>
      </c>
      <c r="O57" t="str">
        <f>IF(Cleanedtable[[#This Row],[SIBLINGS/SPOUSES]]&gt;0,"YES","NO")</f>
        <v>YES</v>
      </c>
      <c r="P57" t="str">
        <f>IF(Cleanedtable[[#This Row],[Parch]]&gt;0,"YES","NO")</f>
        <v>YES</v>
      </c>
    </row>
    <row r="58" spans="1:16" x14ac:dyDescent="0.35">
      <c r="A58">
        <v>948</v>
      </c>
      <c r="B58">
        <v>0</v>
      </c>
      <c r="C58">
        <v>3</v>
      </c>
      <c r="D58" t="s">
        <v>103</v>
      </c>
      <c r="E58" t="s">
        <v>11</v>
      </c>
      <c r="F58" t="str">
        <f>IF(Cleanedtable[[#This Row],[Age]]&lt;18,"TEEN",IF(Cleanedtable[[#This Row],[Age]]&lt;30,"YOUTH",IF(Cleanedtable[[#This Row],[Age]]&lt;=59,"ADULT",IF(Cleanedtable[[#This Row],[Age]]&gt;=60,"ELDER"))))</f>
        <v>ADULT</v>
      </c>
      <c r="G58">
        <v>35</v>
      </c>
      <c r="H58">
        <v>0</v>
      </c>
      <c r="I58">
        <v>0</v>
      </c>
      <c r="J58" t="s">
        <v>667</v>
      </c>
      <c r="K58">
        <v>7.8958000000000004</v>
      </c>
      <c r="M58" t="s">
        <v>15</v>
      </c>
      <c r="N58" t="str">
        <f>IF(Cleanedtable[[#This Row],[Age]]&lt;18, "YES","NO")</f>
        <v>NO</v>
      </c>
      <c r="O58" t="str">
        <f>IF(Cleanedtable[[#This Row],[SIBLINGS/SPOUSES]]&gt;0,"YES","NO")</f>
        <v>NO</v>
      </c>
      <c r="P58" t="str">
        <f>IF(Cleanedtable[[#This Row],[Parch]]&gt;0,"YES","NO")</f>
        <v>NO</v>
      </c>
    </row>
    <row r="59" spans="1:16" x14ac:dyDescent="0.35">
      <c r="A59">
        <v>949</v>
      </c>
      <c r="B59">
        <v>0</v>
      </c>
      <c r="C59">
        <v>3</v>
      </c>
      <c r="D59" t="s">
        <v>104</v>
      </c>
      <c r="E59" t="s">
        <v>11</v>
      </c>
      <c r="F59" t="str">
        <f>IF(Cleanedtable[[#This Row],[Age]]&lt;18,"TEEN",IF(Cleanedtable[[#This Row],[Age]]&lt;30,"YOUTH",IF(Cleanedtable[[#This Row],[Age]]&lt;=59,"ADULT",IF(Cleanedtable[[#This Row],[Age]]&gt;=60,"ELDER"))))</f>
        <v>YOUTH</v>
      </c>
      <c r="G59">
        <v>25</v>
      </c>
      <c r="H59">
        <v>0</v>
      </c>
      <c r="I59">
        <v>0</v>
      </c>
      <c r="J59" t="s">
        <v>668</v>
      </c>
      <c r="K59">
        <v>7.65</v>
      </c>
      <c r="L59" t="s">
        <v>105</v>
      </c>
      <c r="M59" t="s">
        <v>15</v>
      </c>
      <c r="N59" t="str">
        <f>IF(Cleanedtable[[#This Row],[Age]]&lt;18, "YES","NO")</f>
        <v>NO</v>
      </c>
      <c r="O59" t="str">
        <f>IF(Cleanedtable[[#This Row],[SIBLINGS/SPOUSES]]&gt;0,"YES","NO")</f>
        <v>NO</v>
      </c>
      <c r="P59" t="str">
        <f>IF(Cleanedtable[[#This Row],[Parch]]&gt;0,"YES","NO")</f>
        <v>NO</v>
      </c>
    </row>
    <row r="60" spans="1:16" x14ac:dyDescent="0.35">
      <c r="A60">
        <v>950</v>
      </c>
      <c r="B60">
        <v>0</v>
      </c>
      <c r="C60">
        <v>3</v>
      </c>
      <c r="D60" t="s">
        <v>106</v>
      </c>
      <c r="E60" t="s">
        <v>11</v>
      </c>
      <c r="F60" t="str">
        <f>IF(Cleanedtable[[#This Row],[Age]]&lt;18,"TEEN",IF(Cleanedtable[[#This Row],[Age]]&lt;30,"YOUTH",IF(Cleanedtable[[#This Row],[Age]]&lt;=59,"ADULT",IF(Cleanedtable[[#This Row],[Age]]&gt;=60,"ELDER"))))</f>
        <v>ADULT</v>
      </c>
      <c r="G60">
        <v>30.2</v>
      </c>
      <c r="H60">
        <v>1</v>
      </c>
      <c r="I60">
        <v>0</v>
      </c>
      <c r="J60" t="s">
        <v>669</v>
      </c>
      <c r="K60">
        <v>16.100000000000001</v>
      </c>
      <c r="M60" t="s">
        <v>15</v>
      </c>
      <c r="N60" t="str">
        <f>IF(Cleanedtable[[#This Row],[Age]]&lt;18, "YES","NO")</f>
        <v>NO</v>
      </c>
      <c r="O60" t="str">
        <f>IF(Cleanedtable[[#This Row],[SIBLINGS/SPOUSES]]&gt;0,"YES","NO")</f>
        <v>YES</v>
      </c>
      <c r="P60" t="str">
        <f>IF(Cleanedtable[[#This Row],[Parch]]&gt;0,"YES","NO")</f>
        <v>NO</v>
      </c>
    </row>
    <row r="61" spans="1:16" x14ac:dyDescent="0.35">
      <c r="A61">
        <v>951</v>
      </c>
      <c r="B61">
        <v>1</v>
      </c>
      <c r="C61">
        <v>1</v>
      </c>
      <c r="D61" t="s">
        <v>107</v>
      </c>
      <c r="E61" t="s">
        <v>14</v>
      </c>
      <c r="F61" t="str">
        <f>IF(Cleanedtable[[#This Row],[Age]]&lt;18,"TEEN",IF(Cleanedtable[[#This Row],[Age]]&lt;30,"YOUTH",IF(Cleanedtable[[#This Row],[Age]]&lt;=59,"ADULT",IF(Cleanedtable[[#This Row],[Age]]&gt;=60,"ELDER"))))</f>
        <v>ADULT</v>
      </c>
      <c r="G61">
        <v>36</v>
      </c>
      <c r="H61">
        <v>0</v>
      </c>
      <c r="I61">
        <v>0</v>
      </c>
      <c r="J61" t="s">
        <v>640</v>
      </c>
      <c r="K61">
        <v>262.375</v>
      </c>
      <c r="L61" t="s">
        <v>108</v>
      </c>
      <c r="M61" t="s">
        <v>23</v>
      </c>
      <c r="N61" t="str">
        <f>IF(Cleanedtable[[#This Row],[Age]]&lt;18, "YES","NO")</f>
        <v>NO</v>
      </c>
      <c r="O61" t="str">
        <f>IF(Cleanedtable[[#This Row],[SIBLINGS/SPOUSES]]&gt;0,"YES","NO")</f>
        <v>NO</v>
      </c>
      <c r="P61" t="str">
        <f>IF(Cleanedtable[[#This Row],[Parch]]&gt;0,"YES","NO")</f>
        <v>NO</v>
      </c>
    </row>
    <row r="62" spans="1:16" x14ac:dyDescent="0.35">
      <c r="A62">
        <v>952</v>
      </c>
      <c r="B62">
        <v>0</v>
      </c>
      <c r="C62">
        <v>3</v>
      </c>
      <c r="D62" t="s">
        <v>109</v>
      </c>
      <c r="E62" t="s">
        <v>11</v>
      </c>
      <c r="F62" t="str">
        <f>IF(Cleanedtable[[#This Row],[Age]]&lt;18,"TEEN",IF(Cleanedtable[[#This Row],[Age]]&lt;30,"YOUTH",IF(Cleanedtable[[#This Row],[Age]]&lt;=59,"ADULT",IF(Cleanedtable[[#This Row],[Age]]&gt;=60,"ELDER"))))</f>
        <v>TEEN</v>
      </c>
      <c r="G62">
        <v>17</v>
      </c>
      <c r="H62">
        <v>0</v>
      </c>
      <c r="I62">
        <v>0</v>
      </c>
      <c r="J62" t="s">
        <v>670</v>
      </c>
      <c r="K62">
        <v>7.8958000000000004</v>
      </c>
      <c r="M62" t="s">
        <v>15</v>
      </c>
      <c r="N62" t="str">
        <f>IF(Cleanedtable[[#This Row],[Age]]&lt;18, "YES","NO")</f>
        <v>YES</v>
      </c>
      <c r="O62" t="str">
        <f>IF(Cleanedtable[[#This Row],[SIBLINGS/SPOUSES]]&gt;0,"YES","NO")</f>
        <v>NO</v>
      </c>
      <c r="P62" t="str">
        <f>IF(Cleanedtable[[#This Row],[Parch]]&gt;0,"YES","NO")</f>
        <v>NO</v>
      </c>
    </row>
    <row r="63" spans="1:16" x14ac:dyDescent="0.35">
      <c r="A63">
        <v>953</v>
      </c>
      <c r="B63">
        <v>0</v>
      </c>
      <c r="C63">
        <v>2</v>
      </c>
      <c r="D63" t="s">
        <v>110</v>
      </c>
      <c r="E63" t="s">
        <v>11</v>
      </c>
      <c r="F63" t="str">
        <f>IF(Cleanedtable[[#This Row],[Age]]&lt;18,"TEEN",IF(Cleanedtable[[#This Row],[Age]]&lt;30,"YOUTH",IF(Cleanedtable[[#This Row],[Age]]&lt;=59,"ADULT",IF(Cleanedtable[[#This Row],[Age]]&gt;=60,"ELDER"))))</f>
        <v>ADULT</v>
      </c>
      <c r="G63">
        <v>32</v>
      </c>
      <c r="H63">
        <v>0</v>
      </c>
      <c r="I63">
        <v>0</v>
      </c>
      <c r="J63" t="s">
        <v>671</v>
      </c>
      <c r="K63">
        <v>13.5</v>
      </c>
      <c r="M63" t="s">
        <v>15</v>
      </c>
      <c r="N63" t="str">
        <f>IF(Cleanedtable[[#This Row],[Age]]&lt;18, "YES","NO")</f>
        <v>NO</v>
      </c>
      <c r="O63" t="str">
        <f>IF(Cleanedtable[[#This Row],[SIBLINGS/SPOUSES]]&gt;0,"YES","NO")</f>
        <v>NO</v>
      </c>
      <c r="P63" t="str">
        <f>IF(Cleanedtable[[#This Row],[Parch]]&gt;0,"YES","NO")</f>
        <v>NO</v>
      </c>
    </row>
    <row r="64" spans="1:16" x14ac:dyDescent="0.35">
      <c r="A64">
        <v>954</v>
      </c>
      <c r="B64">
        <v>0</v>
      </c>
      <c r="C64">
        <v>3</v>
      </c>
      <c r="D64" t="s">
        <v>111</v>
      </c>
      <c r="E64" t="s">
        <v>11</v>
      </c>
      <c r="F64" t="str">
        <f>IF(Cleanedtable[[#This Row],[Age]]&lt;18,"TEEN",IF(Cleanedtable[[#This Row],[Age]]&lt;30,"YOUTH",IF(Cleanedtable[[#This Row],[Age]]&lt;=59,"ADULT",IF(Cleanedtable[[#This Row],[Age]]&gt;=60,"ELDER"))))</f>
        <v>YOUTH</v>
      </c>
      <c r="G64">
        <v>18</v>
      </c>
      <c r="H64">
        <v>0</v>
      </c>
      <c r="I64">
        <v>0</v>
      </c>
      <c r="J64" t="s">
        <v>672</v>
      </c>
      <c r="K64">
        <v>7.75</v>
      </c>
      <c r="M64" t="s">
        <v>15</v>
      </c>
      <c r="N64" t="str">
        <f>IF(Cleanedtable[[#This Row],[Age]]&lt;18, "YES","NO")</f>
        <v>NO</v>
      </c>
      <c r="O64" t="str">
        <f>IF(Cleanedtable[[#This Row],[SIBLINGS/SPOUSES]]&gt;0,"YES","NO")</f>
        <v>NO</v>
      </c>
      <c r="P64" t="str">
        <f>IF(Cleanedtable[[#This Row],[Parch]]&gt;0,"YES","NO")</f>
        <v>NO</v>
      </c>
    </row>
    <row r="65" spans="1:16" x14ac:dyDescent="0.35">
      <c r="A65">
        <v>955</v>
      </c>
      <c r="B65">
        <v>1</v>
      </c>
      <c r="C65">
        <v>3</v>
      </c>
      <c r="D65" t="s">
        <v>112</v>
      </c>
      <c r="E65" t="s">
        <v>14</v>
      </c>
      <c r="F65" t="str">
        <f>IF(Cleanedtable[[#This Row],[Age]]&lt;18,"TEEN",IF(Cleanedtable[[#This Row],[Age]]&lt;30,"YOUTH",IF(Cleanedtable[[#This Row],[Age]]&lt;=59,"ADULT",IF(Cleanedtable[[#This Row],[Age]]&gt;=60,"ELDER"))))</f>
        <v>YOUTH</v>
      </c>
      <c r="G65">
        <v>22</v>
      </c>
      <c r="H65">
        <v>0</v>
      </c>
      <c r="I65">
        <v>0</v>
      </c>
      <c r="J65" t="s">
        <v>673</v>
      </c>
      <c r="K65">
        <v>7.7249999999999996</v>
      </c>
      <c r="M65" t="s">
        <v>12</v>
      </c>
      <c r="N65" t="str">
        <f>IF(Cleanedtable[[#This Row],[Age]]&lt;18, "YES","NO")</f>
        <v>NO</v>
      </c>
      <c r="O65" t="str">
        <f>IF(Cleanedtable[[#This Row],[SIBLINGS/SPOUSES]]&gt;0,"YES","NO")</f>
        <v>NO</v>
      </c>
      <c r="P65" t="str">
        <f>IF(Cleanedtable[[#This Row],[Parch]]&gt;0,"YES","NO")</f>
        <v>NO</v>
      </c>
    </row>
    <row r="66" spans="1:16" x14ac:dyDescent="0.35">
      <c r="A66">
        <v>956</v>
      </c>
      <c r="B66">
        <v>0</v>
      </c>
      <c r="C66">
        <v>1</v>
      </c>
      <c r="D66" t="s">
        <v>113</v>
      </c>
      <c r="E66" t="s">
        <v>11</v>
      </c>
      <c r="F66" t="str">
        <f>IF(Cleanedtable[[#This Row],[Age]]&lt;18,"TEEN",IF(Cleanedtable[[#This Row],[Age]]&lt;30,"YOUTH",IF(Cleanedtable[[#This Row],[Age]]&lt;=59,"ADULT",IF(Cleanedtable[[#This Row],[Age]]&gt;=60,"ELDER"))))</f>
        <v>TEEN</v>
      </c>
      <c r="G66">
        <v>13</v>
      </c>
      <c r="H66">
        <v>2</v>
      </c>
      <c r="I66">
        <v>2</v>
      </c>
      <c r="J66" t="s">
        <v>640</v>
      </c>
      <c r="K66">
        <v>262.375</v>
      </c>
      <c r="L66" t="s">
        <v>51</v>
      </c>
      <c r="M66" t="s">
        <v>23</v>
      </c>
      <c r="N66" t="str">
        <f>IF(Cleanedtable[[#This Row],[Age]]&lt;18, "YES","NO")</f>
        <v>YES</v>
      </c>
      <c r="O66" t="str">
        <f>IF(Cleanedtable[[#This Row],[SIBLINGS/SPOUSES]]&gt;0,"YES","NO")</f>
        <v>YES</v>
      </c>
      <c r="P66" t="str">
        <f>IF(Cleanedtable[[#This Row],[Parch]]&gt;0,"YES","NO")</f>
        <v>YES</v>
      </c>
    </row>
    <row r="67" spans="1:16" x14ac:dyDescent="0.35">
      <c r="A67">
        <v>957</v>
      </c>
      <c r="B67">
        <v>1</v>
      </c>
      <c r="C67">
        <v>2</v>
      </c>
      <c r="D67" t="s">
        <v>114</v>
      </c>
      <c r="E67" t="s">
        <v>14</v>
      </c>
      <c r="F67" t="str">
        <f>IF(Cleanedtable[[#This Row],[Age]]&lt;18,"TEEN",IF(Cleanedtable[[#This Row],[Age]]&lt;30,"YOUTH",IF(Cleanedtable[[#This Row],[Age]]&lt;=59,"ADULT",IF(Cleanedtable[[#This Row],[Age]]&gt;=60,"ELDER"))))</f>
        <v>ADULT</v>
      </c>
      <c r="G67">
        <v>30.2</v>
      </c>
      <c r="H67">
        <v>0</v>
      </c>
      <c r="I67">
        <v>0</v>
      </c>
      <c r="J67" t="s">
        <v>115</v>
      </c>
      <c r="K67">
        <v>21</v>
      </c>
      <c r="M67" t="s">
        <v>15</v>
      </c>
      <c r="N67" t="str">
        <f>IF(Cleanedtable[[#This Row],[Age]]&lt;18, "YES","NO")</f>
        <v>NO</v>
      </c>
      <c r="O67" t="str">
        <f>IF(Cleanedtable[[#This Row],[SIBLINGS/SPOUSES]]&gt;0,"YES","NO")</f>
        <v>NO</v>
      </c>
      <c r="P67" t="str">
        <f>IF(Cleanedtable[[#This Row],[Parch]]&gt;0,"YES","NO")</f>
        <v>NO</v>
      </c>
    </row>
    <row r="68" spans="1:16" x14ac:dyDescent="0.35">
      <c r="A68">
        <v>958</v>
      </c>
      <c r="B68">
        <v>1</v>
      </c>
      <c r="C68">
        <v>3</v>
      </c>
      <c r="D68" t="s">
        <v>116</v>
      </c>
      <c r="E68" t="s">
        <v>14</v>
      </c>
      <c r="F68" t="str">
        <f>IF(Cleanedtable[[#This Row],[Age]]&lt;18,"TEEN",IF(Cleanedtable[[#This Row],[Age]]&lt;30,"YOUTH",IF(Cleanedtable[[#This Row],[Age]]&lt;=59,"ADULT",IF(Cleanedtable[[#This Row],[Age]]&gt;=60,"ELDER"))))</f>
        <v>YOUTH</v>
      </c>
      <c r="G68">
        <v>18</v>
      </c>
      <c r="H68">
        <v>0</v>
      </c>
      <c r="I68">
        <v>0</v>
      </c>
      <c r="J68" t="s">
        <v>674</v>
      </c>
      <c r="K68">
        <v>7.8792</v>
      </c>
      <c r="M68" t="s">
        <v>12</v>
      </c>
      <c r="N68" t="str">
        <f>IF(Cleanedtable[[#This Row],[Age]]&lt;18, "YES","NO")</f>
        <v>NO</v>
      </c>
      <c r="O68" t="str">
        <f>IF(Cleanedtable[[#This Row],[SIBLINGS/SPOUSES]]&gt;0,"YES","NO")</f>
        <v>NO</v>
      </c>
      <c r="P68" t="str">
        <f>IF(Cleanedtable[[#This Row],[Parch]]&gt;0,"YES","NO")</f>
        <v>NO</v>
      </c>
    </row>
    <row r="69" spans="1:16" x14ac:dyDescent="0.35">
      <c r="A69">
        <v>959</v>
      </c>
      <c r="B69">
        <v>0</v>
      </c>
      <c r="C69">
        <v>1</v>
      </c>
      <c r="D69" t="s">
        <v>117</v>
      </c>
      <c r="E69" t="s">
        <v>11</v>
      </c>
      <c r="F69" t="str">
        <f>IF(Cleanedtable[[#This Row],[Age]]&lt;18,"TEEN",IF(Cleanedtable[[#This Row],[Age]]&lt;30,"YOUTH",IF(Cleanedtable[[#This Row],[Age]]&lt;=59,"ADULT",IF(Cleanedtable[[#This Row],[Age]]&gt;=60,"ELDER"))))</f>
        <v>ADULT</v>
      </c>
      <c r="G69">
        <v>47</v>
      </c>
      <c r="H69">
        <v>0</v>
      </c>
      <c r="I69">
        <v>0</v>
      </c>
      <c r="J69" t="s">
        <v>675</v>
      </c>
      <c r="K69">
        <v>42.4</v>
      </c>
      <c r="M69" t="s">
        <v>15</v>
      </c>
      <c r="N69" t="str">
        <f>IF(Cleanedtable[[#This Row],[Age]]&lt;18, "YES","NO")</f>
        <v>NO</v>
      </c>
      <c r="O69" t="str">
        <f>IF(Cleanedtable[[#This Row],[SIBLINGS/SPOUSES]]&gt;0,"YES","NO")</f>
        <v>NO</v>
      </c>
      <c r="P69" t="str">
        <f>IF(Cleanedtable[[#This Row],[Parch]]&gt;0,"YES","NO")</f>
        <v>NO</v>
      </c>
    </row>
    <row r="70" spans="1:16" x14ac:dyDescent="0.35">
      <c r="A70">
        <v>960</v>
      </c>
      <c r="B70">
        <v>0</v>
      </c>
      <c r="C70">
        <v>1</v>
      </c>
      <c r="D70" t="s">
        <v>118</v>
      </c>
      <c r="E70" t="s">
        <v>11</v>
      </c>
      <c r="F70" t="str">
        <f>IF(Cleanedtable[[#This Row],[Age]]&lt;18,"TEEN",IF(Cleanedtable[[#This Row],[Age]]&lt;30,"YOUTH",IF(Cleanedtable[[#This Row],[Age]]&lt;=59,"ADULT",IF(Cleanedtable[[#This Row],[Age]]&gt;=60,"ELDER"))))</f>
        <v>ADULT</v>
      </c>
      <c r="G70">
        <v>31</v>
      </c>
      <c r="H70">
        <v>0</v>
      </c>
      <c r="I70">
        <v>0</v>
      </c>
      <c r="J70" t="s">
        <v>676</v>
      </c>
      <c r="K70">
        <v>28.537500000000001</v>
      </c>
      <c r="L70" t="s">
        <v>119</v>
      </c>
      <c r="M70" t="s">
        <v>23</v>
      </c>
      <c r="N70" t="str">
        <f>IF(Cleanedtable[[#This Row],[Age]]&lt;18, "YES","NO")</f>
        <v>NO</v>
      </c>
      <c r="O70" t="str">
        <f>IF(Cleanedtable[[#This Row],[SIBLINGS/SPOUSES]]&gt;0,"YES","NO")</f>
        <v>NO</v>
      </c>
      <c r="P70" t="str">
        <f>IF(Cleanedtable[[#This Row],[Parch]]&gt;0,"YES","NO")</f>
        <v>NO</v>
      </c>
    </row>
    <row r="71" spans="1:16" x14ac:dyDescent="0.35">
      <c r="A71">
        <v>961</v>
      </c>
      <c r="B71">
        <v>1</v>
      </c>
      <c r="C71">
        <v>1</v>
      </c>
      <c r="D71" t="s">
        <v>120</v>
      </c>
      <c r="E71" t="s">
        <v>14</v>
      </c>
      <c r="F71" t="str">
        <f>IF(Cleanedtable[[#This Row],[Age]]&lt;18,"TEEN",IF(Cleanedtable[[#This Row],[Age]]&lt;30,"YOUTH",IF(Cleanedtable[[#This Row],[Age]]&lt;=59,"ADULT",IF(Cleanedtable[[#This Row],[Age]]&gt;=60,"ELDER"))))</f>
        <v>ELDER</v>
      </c>
      <c r="G71">
        <v>60</v>
      </c>
      <c r="H71">
        <v>1</v>
      </c>
      <c r="I71">
        <v>4</v>
      </c>
      <c r="J71" t="s">
        <v>664</v>
      </c>
      <c r="K71">
        <v>263</v>
      </c>
      <c r="L71" t="s">
        <v>99</v>
      </c>
      <c r="M71" t="s">
        <v>15</v>
      </c>
      <c r="N71" t="str">
        <f>IF(Cleanedtable[[#This Row],[Age]]&lt;18, "YES","NO")</f>
        <v>NO</v>
      </c>
      <c r="O71" t="str">
        <f>IF(Cleanedtable[[#This Row],[SIBLINGS/SPOUSES]]&gt;0,"YES","NO")</f>
        <v>YES</v>
      </c>
      <c r="P71" t="str">
        <f>IF(Cleanedtable[[#This Row],[Parch]]&gt;0,"YES","NO")</f>
        <v>YES</v>
      </c>
    </row>
    <row r="72" spans="1:16" x14ac:dyDescent="0.35">
      <c r="A72">
        <v>962</v>
      </c>
      <c r="B72">
        <v>1</v>
      </c>
      <c r="C72">
        <v>3</v>
      </c>
      <c r="D72" t="s">
        <v>121</v>
      </c>
      <c r="E72" t="s">
        <v>14</v>
      </c>
      <c r="F72" t="str">
        <f>IF(Cleanedtable[[#This Row],[Age]]&lt;18,"TEEN",IF(Cleanedtable[[#This Row],[Age]]&lt;30,"YOUTH",IF(Cleanedtable[[#This Row],[Age]]&lt;=59,"ADULT",IF(Cleanedtable[[#This Row],[Age]]&gt;=60,"ELDER"))))</f>
        <v>YOUTH</v>
      </c>
      <c r="G72">
        <v>24</v>
      </c>
      <c r="H72">
        <v>0</v>
      </c>
      <c r="I72">
        <v>0</v>
      </c>
      <c r="J72" t="s">
        <v>677</v>
      </c>
      <c r="K72">
        <v>7.75</v>
      </c>
      <c r="M72" t="s">
        <v>12</v>
      </c>
      <c r="N72" t="str">
        <f>IF(Cleanedtable[[#This Row],[Age]]&lt;18, "YES","NO")</f>
        <v>NO</v>
      </c>
      <c r="O72" t="str">
        <f>IF(Cleanedtable[[#This Row],[SIBLINGS/SPOUSES]]&gt;0,"YES","NO")</f>
        <v>NO</v>
      </c>
      <c r="P72" t="str">
        <f>IF(Cleanedtable[[#This Row],[Parch]]&gt;0,"YES","NO")</f>
        <v>NO</v>
      </c>
    </row>
    <row r="73" spans="1:16" x14ac:dyDescent="0.35">
      <c r="A73">
        <v>963</v>
      </c>
      <c r="B73">
        <v>0</v>
      </c>
      <c r="C73">
        <v>3</v>
      </c>
      <c r="D73" t="s">
        <v>122</v>
      </c>
      <c r="E73" t="s">
        <v>11</v>
      </c>
      <c r="F73" t="str">
        <f>IF(Cleanedtable[[#This Row],[Age]]&lt;18,"TEEN",IF(Cleanedtable[[#This Row],[Age]]&lt;30,"YOUTH",IF(Cleanedtable[[#This Row],[Age]]&lt;=59,"ADULT",IF(Cleanedtable[[#This Row],[Age]]&gt;=60,"ELDER"))))</f>
        <v>YOUTH</v>
      </c>
      <c r="G73">
        <v>21</v>
      </c>
      <c r="H73">
        <v>0</v>
      </c>
      <c r="I73">
        <v>0</v>
      </c>
      <c r="J73" t="s">
        <v>678</v>
      </c>
      <c r="K73">
        <v>7.8958000000000004</v>
      </c>
      <c r="M73" t="s">
        <v>15</v>
      </c>
      <c r="N73" t="str">
        <f>IF(Cleanedtable[[#This Row],[Age]]&lt;18, "YES","NO")</f>
        <v>NO</v>
      </c>
      <c r="O73" t="str">
        <f>IF(Cleanedtable[[#This Row],[SIBLINGS/SPOUSES]]&gt;0,"YES","NO")</f>
        <v>NO</v>
      </c>
      <c r="P73" t="str">
        <f>IF(Cleanedtable[[#This Row],[Parch]]&gt;0,"YES","NO")</f>
        <v>NO</v>
      </c>
    </row>
    <row r="74" spans="1:16" x14ac:dyDescent="0.35">
      <c r="A74">
        <v>964</v>
      </c>
      <c r="B74">
        <v>1</v>
      </c>
      <c r="C74">
        <v>3</v>
      </c>
      <c r="D74" t="s">
        <v>123</v>
      </c>
      <c r="E74" t="s">
        <v>14</v>
      </c>
      <c r="F74" t="str">
        <f>IF(Cleanedtable[[#This Row],[Age]]&lt;18,"TEEN",IF(Cleanedtable[[#This Row],[Age]]&lt;30,"YOUTH",IF(Cleanedtable[[#This Row],[Age]]&lt;=59,"ADULT",IF(Cleanedtable[[#This Row],[Age]]&gt;=60,"ELDER"))))</f>
        <v>YOUTH</v>
      </c>
      <c r="G74">
        <v>29</v>
      </c>
      <c r="H74">
        <v>0</v>
      </c>
      <c r="I74">
        <v>0</v>
      </c>
      <c r="J74" t="s">
        <v>679</v>
      </c>
      <c r="K74">
        <v>7.9249999999999998</v>
      </c>
      <c r="M74" t="s">
        <v>15</v>
      </c>
      <c r="N74" t="str">
        <f>IF(Cleanedtable[[#This Row],[Age]]&lt;18, "YES","NO")</f>
        <v>NO</v>
      </c>
      <c r="O74" t="str">
        <f>IF(Cleanedtable[[#This Row],[SIBLINGS/SPOUSES]]&gt;0,"YES","NO")</f>
        <v>NO</v>
      </c>
      <c r="P74" t="str">
        <f>IF(Cleanedtable[[#This Row],[Parch]]&gt;0,"YES","NO")</f>
        <v>NO</v>
      </c>
    </row>
    <row r="75" spans="1:16" x14ac:dyDescent="0.35">
      <c r="A75">
        <v>965</v>
      </c>
      <c r="B75">
        <v>0</v>
      </c>
      <c r="C75">
        <v>1</v>
      </c>
      <c r="D75" t="s">
        <v>124</v>
      </c>
      <c r="E75" t="s">
        <v>11</v>
      </c>
      <c r="F75" t="str">
        <f>IF(Cleanedtable[[#This Row],[Age]]&lt;18,"TEEN",IF(Cleanedtable[[#This Row],[Age]]&lt;30,"YOUTH",IF(Cleanedtable[[#This Row],[Age]]&lt;=59,"ADULT",IF(Cleanedtable[[#This Row],[Age]]&gt;=60,"ELDER"))))</f>
        <v>YOUTH</v>
      </c>
      <c r="G75">
        <v>28.5</v>
      </c>
      <c r="H75">
        <v>0</v>
      </c>
      <c r="I75">
        <v>0</v>
      </c>
      <c r="J75" t="s">
        <v>680</v>
      </c>
      <c r="K75">
        <v>27.720800000000001</v>
      </c>
      <c r="L75" t="s">
        <v>126</v>
      </c>
      <c r="M75" t="s">
        <v>23</v>
      </c>
      <c r="N75" t="str">
        <f>IF(Cleanedtable[[#This Row],[Age]]&lt;18, "YES","NO")</f>
        <v>NO</v>
      </c>
      <c r="O75" t="str">
        <f>IF(Cleanedtable[[#This Row],[SIBLINGS/SPOUSES]]&gt;0,"YES","NO")</f>
        <v>NO</v>
      </c>
      <c r="P75" t="str">
        <f>IF(Cleanedtable[[#This Row],[Parch]]&gt;0,"YES","NO")</f>
        <v>NO</v>
      </c>
    </row>
    <row r="76" spans="1:16" x14ac:dyDescent="0.35">
      <c r="A76">
        <v>966</v>
      </c>
      <c r="B76">
        <v>1</v>
      </c>
      <c r="C76">
        <v>1</v>
      </c>
      <c r="D76" t="s">
        <v>127</v>
      </c>
      <c r="E76" t="s">
        <v>14</v>
      </c>
      <c r="F76" t="str">
        <f>IF(Cleanedtable[[#This Row],[Age]]&lt;18,"TEEN",IF(Cleanedtable[[#This Row],[Age]]&lt;30,"YOUTH",IF(Cleanedtable[[#This Row],[Age]]&lt;=59,"ADULT",IF(Cleanedtable[[#This Row],[Age]]&gt;=60,"ELDER"))))</f>
        <v>ADULT</v>
      </c>
      <c r="G76">
        <v>35</v>
      </c>
      <c r="H76">
        <v>0</v>
      </c>
      <c r="I76">
        <v>0</v>
      </c>
      <c r="J76" t="s">
        <v>681</v>
      </c>
      <c r="K76">
        <v>211.5</v>
      </c>
      <c r="L76" t="s">
        <v>128</v>
      </c>
      <c r="M76" t="s">
        <v>23</v>
      </c>
      <c r="N76" t="str">
        <f>IF(Cleanedtable[[#This Row],[Age]]&lt;18, "YES","NO")</f>
        <v>NO</v>
      </c>
      <c r="O76" t="str">
        <f>IF(Cleanedtable[[#This Row],[SIBLINGS/SPOUSES]]&gt;0,"YES","NO")</f>
        <v>NO</v>
      </c>
      <c r="P76" t="str">
        <f>IF(Cleanedtable[[#This Row],[Parch]]&gt;0,"YES","NO")</f>
        <v>NO</v>
      </c>
    </row>
    <row r="77" spans="1:16" x14ac:dyDescent="0.35">
      <c r="A77">
        <v>967</v>
      </c>
      <c r="B77">
        <v>0</v>
      </c>
      <c r="C77">
        <v>1</v>
      </c>
      <c r="D77" t="s">
        <v>129</v>
      </c>
      <c r="E77" t="s">
        <v>11</v>
      </c>
      <c r="F77" t="str">
        <f>IF(Cleanedtable[[#This Row],[Age]]&lt;18,"TEEN",IF(Cleanedtable[[#This Row],[Age]]&lt;30,"YOUTH",IF(Cleanedtable[[#This Row],[Age]]&lt;=59,"ADULT",IF(Cleanedtable[[#This Row],[Age]]&gt;=60,"ELDER"))))</f>
        <v>ADULT</v>
      </c>
      <c r="G77">
        <v>32.5</v>
      </c>
      <c r="H77">
        <v>0</v>
      </c>
      <c r="I77">
        <v>0</v>
      </c>
      <c r="J77" t="s">
        <v>681</v>
      </c>
      <c r="K77">
        <v>211.5</v>
      </c>
      <c r="L77" t="s">
        <v>130</v>
      </c>
      <c r="M77" t="s">
        <v>23</v>
      </c>
      <c r="N77" t="str">
        <f>IF(Cleanedtable[[#This Row],[Age]]&lt;18, "YES","NO")</f>
        <v>NO</v>
      </c>
      <c r="O77" t="str">
        <f>IF(Cleanedtable[[#This Row],[SIBLINGS/SPOUSES]]&gt;0,"YES","NO")</f>
        <v>NO</v>
      </c>
      <c r="P77" t="str">
        <f>IF(Cleanedtable[[#This Row],[Parch]]&gt;0,"YES","NO")</f>
        <v>NO</v>
      </c>
    </row>
    <row r="78" spans="1:16" x14ac:dyDescent="0.35">
      <c r="A78">
        <v>968</v>
      </c>
      <c r="B78">
        <v>0</v>
      </c>
      <c r="C78">
        <v>3</v>
      </c>
      <c r="D78" t="s">
        <v>131</v>
      </c>
      <c r="E78" t="s">
        <v>11</v>
      </c>
      <c r="F78" t="str">
        <f>IF(Cleanedtable[[#This Row],[Age]]&lt;18,"TEEN",IF(Cleanedtable[[#This Row],[Age]]&lt;30,"YOUTH",IF(Cleanedtable[[#This Row],[Age]]&lt;=59,"ADULT",IF(Cleanedtable[[#This Row],[Age]]&gt;=60,"ELDER"))))</f>
        <v>ADULT</v>
      </c>
      <c r="G78">
        <v>30.2</v>
      </c>
      <c r="H78">
        <v>0</v>
      </c>
      <c r="I78">
        <v>0</v>
      </c>
      <c r="J78" t="s">
        <v>682</v>
      </c>
      <c r="K78">
        <v>8.0500000000000007</v>
      </c>
      <c r="M78" t="s">
        <v>15</v>
      </c>
      <c r="N78" t="str">
        <f>IF(Cleanedtable[[#This Row],[Age]]&lt;18, "YES","NO")</f>
        <v>NO</v>
      </c>
      <c r="O78" t="str">
        <f>IF(Cleanedtable[[#This Row],[SIBLINGS/SPOUSES]]&gt;0,"YES","NO")</f>
        <v>NO</v>
      </c>
      <c r="P78" t="str">
        <f>IF(Cleanedtable[[#This Row],[Parch]]&gt;0,"YES","NO")</f>
        <v>NO</v>
      </c>
    </row>
    <row r="79" spans="1:16" x14ac:dyDescent="0.35">
      <c r="A79">
        <v>969</v>
      </c>
      <c r="B79">
        <v>1</v>
      </c>
      <c r="C79">
        <v>1</v>
      </c>
      <c r="D79" t="s">
        <v>132</v>
      </c>
      <c r="E79" t="s">
        <v>14</v>
      </c>
      <c r="F79" t="str">
        <f>IF(Cleanedtable[[#This Row],[Age]]&lt;18,"TEEN",IF(Cleanedtable[[#This Row],[Age]]&lt;30,"YOUTH",IF(Cleanedtable[[#This Row],[Age]]&lt;=59,"ADULT",IF(Cleanedtable[[#This Row],[Age]]&gt;=60,"ELDER"))))</f>
        <v>ADULT</v>
      </c>
      <c r="G79">
        <v>55</v>
      </c>
      <c r="H79">
        <v>2</v>
      </c>
      <c r="I79">
        <v>0</v>
      </c>
      <c r="J79" t="s">
        <v>683</v>
      </c>
      <c r="K79">
        <v>25.7</v>
      </c>
      <c r="L79" t="s">
        <v>133</v>
      </c>
      <c r="M79" t="s">
        <v>15</v>
      </c>
      <c r="N79" t="str">
        <f>IF(Cleanedtable[[#This Row],[Age]]&lt;18, "YES","NO")</f>
        <v>NO</v>
      </c>
      <c r="O79" t="str">
        <f>IF(Cleanedtable[[#This Row],[SIBLINGS/SPOUSES]]&gt;0,"YES","NO")</f>
        <v>YES</v>
      </c>
      <c r="P79" t="str">
        <f>IF(Cleanedtable[[#This Row],[Parch]]&gt;0,"YES","NO")</f>
        <v>NO</v>
      </c>
    </row>
    <row r="80" spans="1:16" x14ac:dyDescent="0.35">
      <c r="A80">
        <v>970</v>
      </c>
      <c r="B80">
        <v>0</v>
      </c>
      <c r="C80">
        <v>2</v>
      </c>
      <c r="D80" t="s">
        <v>134</v>
      </c>
      <c r="E80" t="s">
        <v>11</v>
      </c>
      <c r="F80" t="str">
        <f>IF(Cleanedtable[[#This Row],[Age]]&lt;18,"TEEN",IF(Cleanedtable[[#This Row],[Age]]&lt;30,"YOUTH",IF(Cleanedtable[[#This Row],[Age]]&lt;=59,"ADULT",IF(Cleanedtable[[#This Row],[Age]]&gt;=60,"ELDER"))))</f>
        <v>ADULT</v>
      </c>
      <c r="G80">
        <v>30</v>
      </c>
      <c r="H80">
        <v>0</v>
      </c>
      <c r="I80">
        <v>0</v>
      </c>
      <c r="J80" t="s">
        <v>684</v>
      </c>
      <c r="K80">
        <v>13</v>
      </c>
      <c r="M80" t="s">
        <v>15</v>
      </c>
      <c r="N80" t="str">
        <f>IF(Cleanedtable[[#This Row],[Age]]&lt;18, "YES","NO")</f>
        <v>NO</v>
      </c>
      <c r="O80" t="str">
        <f>IF(Cleanedtable[[#This Row],[SIBLINGS/SPOUSES]]&gt;0,"YES","NO")</f>
        <v>NO</v>
      </c>
      <c r="P80" t="str">
        <f>IF(Cleanedtable[[#This Row],[Parch]]&gt;0,"YES","NO")</f>
        <v>NO</v>
      </c>
    </row>
    <row r="81" spans="1:16" x14ac:dyDescent="0.35">
      <c r="A81">
        <v>971</v>
      </c>
      <c r="B81">
        <v>1</v>
      </c>
      <c r="C81">
        <v>3</v>
      </c>
      <c r="D81" t="s">
        <v>135</v>
      </c>
      <c r="E81" t="s">
        <v>14</v>
      </c>
      <c r="F81" t="str">
        <f>IF(Cleanedtable[[#This Row],[Age]]&lt;18,"TEEN",IF(Cleanedtable[[#This Row],[Age]]&lt;30,"YOUTH",IF(Cleanedtable[[#This Row],[Age]]&lt;=59,"ADULT",IF(Cleanedtable[[#This Row],[Age]]&gt;=60,"ELDER"))))</f>
        <v>YOUTH</v>
      </c>
      <c r="G81">
        <v>24</v>
      </c>
      <c r="H81">
        <v>0</v>
      </c>
      <c r="I81">
        <v>0</v>
      </c>
      <c r="J81" t="s">
        <v>685</v>
      </c>
      <c r="K81">
        <v>7.75</v>
      </c>
      <c r="M81" t="s">
        <v>12</v>
      </c>
      <c r="N81" t="str">
        <f>IF(Cleanedtable[[#This Row],[Age]]&lt;18, "YES","NO")</f>
        <v>NO</v>
      </c>
      <c r="O81" t="str">
        <f>IF(Cleanedtable[[#This Row],[SIBLINGS/SPOUSES]]&gt;0,"YES","NO")</f>
        <v>NO</v>
      </c>
      <c r="P81" t="str">
        <f>IF(Cleanedtable[[#This Row],[Parch]]&gt;0,"YES","NO")</f>
        <v>NO</v>
      </c>
    </row>
    <row r="82" spans="1:16" x14ac:dyDescent="0.35">
      <c r="A82">
        <v>972</v>
      </c>
      <c r="B82">
        <v>0</v>
      </c>
      <c r="C82">
        <v>3</v>
      </c>
      <c r="D82" t="s">
        <v>136</v>
      </c>
      <c r="E82" t="s">
        <v>11</v>
      </c>
      <c r="F82" t="str">
        <f>IF(Cleanedtable[[#This Row],[Age]]&lt;18,"TEEN",IF(Cleanedtable[[#This Row],[Age]]&lt;30,"YOUTH",IF(Cleanedtable[[#This Row],[Age]]&lt;=59,"ADULT",IF(Cleanedtable[[#This Row],[Age]]&gt;=60,"ELDER"))))</f>
        <v>TEEN</v>
      </c>
      <c r="G82">
        <v>6</v>
      </c>
      <c r="H82">
        <v>1</v>
      </c>
      <c r="I82">
        <v>1</v>
      </c>
      <c r="J82" t="s">
        <v>686</v>
      </c>
      <c r="K82">
        <v>15.245799999999999</v>
      </c>
      <c r="M82" t="s">
        <v>23</v>
      </c>
      <c r="N82" t="str">
        <f>IF(Cleanedtable[[#This Row],[Age]]&lt;18, "YES","NO")</f>
        <v>YES</v>
      </c>
      <c r="O82" t="str">
        <f>IF(Cleanedtable[[#This Row],[SIBLINGS/SPOUSES]]&gt;0,"YES","NO")</f>
        <v>YES</v>
      </c>
      <c r="P82" t="str">
        <f>IF(Cleanedtable[[#This Row],[Parch]]&gt;0,"YES","NO")</f>
        <v>YES</v>
      </c>
    </row>
    <row r="83" spans="1:16" x14ac:dyDescent="0.35">
      <c r="A83">
        <v>973</v>
      </c>
      <c r="B83">
        <v>0</v>
      </c>
      <c r="C83">
        <v>1</v>
      </c>
      <c r="D83" t="s">
        <v>137</v>
      </c>
      <c r="E83" t="s">
        <v>11</v>
      </c>
      <c r="F83" t="str">
        <f>IF(Cleanedtable[[#This Row],[Age]]&lt;18,"TEEN",IF(Cleanedtable[[#This Row],[Age]]&lt;30,"YOUTH",IF(Cleanedtable[[#This Row],[Age]]&lt;=59,"ADULT",IF(Cleanedtable[[#This Row],[Age]]&gt;=60,"ELDER"))))</f>
        <v>ELDER</v>
      </c>
      <c r="G83">
        <v>67</v>
      </c>
      <c r="H83">
        <v>1</v>
      </c>
      <c r="I83">
        <v>0</v>
      </c>
      <c r="J83" t="s">
        <v>687</v>
      </c>
      <c r="K83">
        <v>221.7792</v>
      </c>
      <c r="L83" t="s">
        <v>139</v>
      </c>
      <c r="M83" t="s">
        <v>15</v>
      </c>
      <c r="N83" t="str">
        <f>IF(Cleanedtable[[#This Row],[Age]]&lt;18, "YES","NO")</f>
        <v>NO</v>
      </c>
      <c r="O83" t="str">
        <f>IF(Cleanedtable[[#This Row],[SIBLINGS/SPOUSES]]&gt;0,"YES","NO")</f>
        <v>YES</v>
      </c>
      <c r="P83" t="str">
        <f>IF(Cleanedtable[[#This Row],[Parch]]&gt;0,"YES","NO")</f>
        <v>NO</v>
      </c>
    </row>
    <row r="84" spans="1:16" x14ac:dyDescent="0.35">
      <c r="A84">
        <v>974</v>
      </c>
      <c r="B84">
        <v>0</v>
      </c>
      <c r="C84">
        <v>1</v>
      </c>
      <c r="D84" t="s">
        <v>140</v>
      </c>
      <c r="E84" t="s">
        <v>11</v>
      </c>
      <c r="F84" t="str">
        <f>IF(Cleanedtable[[#This Row],[Age]]&lt;18,"TEEN",IF(Cleanedtable[[#This Row],[Age]]&lt;30,"YOUTH",IF(Cleanedtable[[#This Row],[Age]]&lt;=59,"ADULT",IF(Cleanedtable[[#This Row],[Age]]&gt;=60,"ELDER"))))</f>
        <v>ADULT</v>
      </c>
      <c r="G84">
        <v>49</v>
      </c>
      <c r="H84">
        <v>0</v>
      </c>
      <c r="I84">
        <v>0</v>
      </c>
      <c r="J84" t="s">
        <v>688</v>
      </c>
      <c r="K84">
        <v>26</v>
      </c>
      <c r="M84" t="s">
        <v>15</v>
      </c>
      <c r="N84" t="str">
        <f>IF(Cleanedtable[[#This Row],[Age]]&lt;18, "YES","NO")</f>
        <v>NO</v>
      </c>
      <c r="O84" t="str">
        <f>IF(Cleanedtable[[#This Row],[SIBLINGS/SPOUSES]]&gt;0,"YES","NO")</f>
        <v>NO</v>
      </c>
      <c r="P84" t="str">
        <f>IF(Cleanedtable[[#This Row],[Parch]]&gt;0,"YES","NO")</f>
        <v>NO</v>
      </c>
    </row>
    <row r="85" spans="1:16" x14ac:dyDescent="0.35">
      <c r="A85">
        <v>975</v>
      </c>
      <c r="B85">
        <v>0</v>
      </c>
      <c r="C85">
        <v>3</v>
      </c>
      <c r="D85" t="s">
        <v>141</v>
      </c>
      <c r="E85" t="s">
        <v>11</v>
      </c>
      <c r="F85" t="str">
        <f>IF(Cleanedtable[[#This Row],[Age]]&lt;18,"TEEN",IF(Cleanedtable[[#This Row],[Age]]&lt;30,"YOUTH",IF(Cleanedtable[[#This Row],[Age]]&lt;=59,"ADULT",IF(Cleanedtable[[#This Row],[Age]]&gt;=60,"ELDER"))))</f>
        <v>ADULT</v>
      </c>
      <c r="G85">
        <v>30.2</v>
      </c>
      <c r="H85">
        <v>0</v>
      </c>
      <c r="I85">
        <v>0</v>
      </c>
      <c r="J85" t="s">
        <v>689</v>
      </c>
      <c r="K85">
        <v>7.8958000000000004</v>
      </c>
      <c r="M85" t="s">
        <v>15</v>
      </c>
      <c r="N85" t="str">
        <f>IF(Cleanedtable[[#This Row],[Age]]&lt;18, "YES","NO")</f>
        <v>NO</v>
      </c>
      <c r="O85" t="str">
        <f>IF(Cleanedtable[[#This Row],[SIBLINGS/SPOUSES]]&gt;0,"YES","NO")</f>
        <v>NO</v>
      </c>
      <c r="P85" t="str">
        <f>IF(Cleanedtable[[#This Row],[Parch]]&gt;0,"YES","NO")</f>
        <v>NO</v>
      </c>
    </row>
    <row r="86" spans="1:16" x14ac:dyDescent="0.35">
      <c r="A86">
        <v>976</v>
      </c>
      <c r="B86">
        <v>0</v>
      </c>
      <c r="C86">
        <v>2</v>
      </c>
      <c r="D86" t="s">
        <v>142</v>
      </c>
      <c r="E86" t="s">
        <v>11</v>
      </c>
      <c r="F86" t="str">
        <f>IF(Cleanedtable[[#This Row],[Age]]&lt;18,"TEEN",IF(Cleanedtable[[#This Row],[Age]]&lt;30,"YOUTH",IF(Cleanedtable[[#This Row],[Age]]&lt;=59,"ADULT",IF(Cleanedtable[[#This Row],[Age]]&gt;=60,"ELDER"))))</f>
        <v>ADULT</v>
      </c>
      <c r="G86">
        <v>30.2</v>
      </c>
      <c r="H86">
        <v>0</v>
      </c>
      <c r="I86">
        <v>0</v>
      </c>
      <c r="J86" t="s">
        <v>690</v>
      </c>
      <c r="K86">
        <v>10.708299999999999</v>
      </c>
      <c r="M86" t="s">
        <v>12</v>
      </c>
      <c r="N86" t="str">
        <f>IF(Cleanedtable[[#This Row],[Age]]&lt;18, "YES","NO")</f>
        <v>NO</v>
      </c>
      <c r="O86" t="str">
        <f>IF(Cleanedtable[[#This Row],[SIBLINGS/SPOUSES]]&gt;0,"YES","NO")</f>
        <v>NO</v>
      </c>
      <c r="P86" t="str">
        <f>IF(Cleanedtable[[#This Row],[Parch]]&gt;0,"YES","NO")</f>
        <v>NO</v>
      </c>
    </row>
    <row r="87" spans="1:16" x14ac:dyDescent="0.35">
      <c r="A87">
        <v>977</v>
      </c>
      <c r="B87">
        <v>0</v>
      </c>
      <c r="C87">
        <v>3</v>
      </c>
      <c r="D87" t="s">
        <v>143</v>
      </c>
      <c r="E87" t="s">
        <v>11</v>
      </c>
      <c r="F87" t="str">
        <f>IF(Cleanedtable[[#This Row],[Age]]&lt;18,"TEEN",IF(Cleanedtable[[#This Row],[Age]]&lt;30,"YOUTH",IF(Cleanedtable[[#This Row],[Age]]&lt;=59,"ADULT",IF(Cleanedtable[[#This Row],[Age]]&gt;=60,"ELDER"))))</f>
        <v>ADULT</v>
      </c>
      <c r="G87">
        <v>30.2</v>
      </c>
      <c r="H87">
        <v>1</v>
      </c>
      <c r="I87">
        <v>0</v>
      </c>
      <c r="J87" t="s">
        <v>691</v>
      </c>
      <c r="K87">
        <v>14.4542</v>
      </c>
      <c r="M87" t="s">
        <v>23</v>
      </c>
      <c r="N87" t="str">
        <f>IF(Cleanedtable[[#This Row],[Age]]&lt;18, "YES","NO")</f>
        <v>NO</v>
      </c>
      <c r="O87" t="str">
        <f>IF(Cleanedtable[[#This Row],[SIBLINGS/SPOUSES]]&gt;0,"YES","NO")</f>
        <v>YES</v>
      </c>
      <c r="P87" t="str">
        <f>IF(Cleanedtable[[#This Row],[Parch]]&gt;0,"YES","NO")</f>
        <v>NO</v>
      </c>
    </row>
    <row r="88" spans="1:16" x14ac:dyDescent="0.35">
      <c r="A88">
        <v>978</v>
      </c>
      <c r="B88">
        <v>1</v>
      </c>
      <c r="C88">
        <v>3</v>
      </c>
      <c r="D88" t="s">
        <v>144</v>
      </c>
      <c r="E88" t="s">
        <v>14</v>
      </c>
      <c r="F88" t="str">
        <f>IF(Cleanedtable[[#This Row],[Age]]&lt;18,"TEEN",IF(Cleanedtable[[#This Row],[Age]]&lt;30,"YOUTH",IF(Cleanedtable[[#This Row],[Age]]&lt;=59,"ADULT",IF(Cleanedtable[[#This Row],[Age]]&gt;=60,"ELDER"))))</f>
        <v>YOUTH</v>
      </c>
      <c r="G88">
        <v>27</v>
      </c>
      <c r="H88">
        <v>0</v>
      </c>
      <c r="I88">
        <v>0</v>
      </c>
      <c r="J88" t="s">
        <v>692</v>
      </c>
      <c r="K88">
        <v>7.8792</v>
      </c>
      <c r="M88" t="s">
        <v>12</v>
      </c>
      <c r="N88" t="str">
        <f>IF(Cleanedtable[[#This Row],[Age]]&lt;18, "YES","NO")</f>
        <v>NO</v>
      </c>
      <c r="O88" t="str">
        <f>IF(Cleanedtable[[#This Row],[SIBLINGS/SPOUSES]]&gt;0,"YES","NO")</f>
        <v>NO</v>
      </c>
      <c r="P88" t="str">
        <f>IF(Cleanedtable[[#This Row],[Parch]]&gt;0,"YES","NO")</f>
        <v>NO</v>
      </c>
    </row>
    <row r="89" spans="1:16" x14ac:dyDescent="0.35">
      <c r="A89">
        <v>979</v>
      </c>
      <c r="B89">
        <v>1</v>
      </c>
      <c r="C89">
        <v>3</v>
      </c>
      <c r="D89" t="s">
        <v>145</v>
      </c>
      <c r="E89" t="s">
        <v>14</v>
      </c>
      <c r="F89" t="str">
        <f>IF(Cleanedtable[[#This Row],[Age]]&lt;18,"TEEN",IF(Cleanedtable[[#This Row],[Age]]&lt;30,"YOUTH",IF(Cleanedtable[[#This Row],[Age]]&lt;=59,"ADULT",IF(Cleanedtable[[#This Row],[Age]]&gt;=60,"ELDER"))))</f>
        <v>YOUTH</v>
      </c>
      <c r="G89">
        <v>18</v>
      </c>
      <c r="H89">
        <v>0</v>
      </c>
      <c r="I89">
        <v>0</v>
      </c>
      <c r="J89" t="s">
        <v>146</v>
      </c>
      <c r="K89">
        <v>8.0500000000000007</v>
      </c>
      <c r="M89" t="s">
        <v>15</v>
      </c>
      <c r="N89" t="str">
        <f>IF(Cleanedtable[[#This Row],[Age]]&lt;18, "YES","NO")</f>
        <v>NO</v>
      </c>
      <c r="O89" t="str">
        <f>IF(Cleanedtable[[#This Row],[SIBLINGS/SPOUSES]]&gt;0,"YES","NO")</f>
        <v>NO</v>
      </c>
      <c r="P89" t="str">
        <f>IF(Cleanedtable[[#This Row],[Parch]]&gt;0,"YES","NO")</f>
        <v>NO</v>
      </c>
    </row>
    <row r="90" spans="1:16" x14ac:dyDescent="0.35">
      <c r="A90">
        <v>980</v>
      </c>
      <c r="B90">
        <v>1</v>
      </c>
      <c r="C90">
        <v>3</v>
      </c>
      <c r="D90" t="s">
        <v>147</v>
      </c>
      <c r="E90" t="s">
        <v>14</v>
      </c>
      <c r="F90" t="str">
        <f>IF(Cleanedtable[[#This Row],[Age]]&lt;18,"TEEN",IF(Cleanedtable[[#This Row],[Age]]&lt;30,"YOUTH",IF(Cleanedtable[[#This Row],[Age]]&lt;=59,"ADULT",IF(Cleanedtable[[#This Row],[Age]]&gt;=60,"ELDER"))))</f>
        <v>ADULT</v>
      </c>
      <c r="G90">
        <v>30.2</v>
      </c>
      <c r="H90">
        <v>0</v>
      </c>
      <c r="I90">
        <v>0</v>
      </c>
      <c r="J90" t="s">
        <v>693</v>
      </c>
      <c r="K90">
        <v>7.75</v>
      </c>
      <c r="M90" t="s">
        <v>12</v>
      </c>
      <c r="N90" t="str">
        <f>IF(Cleanedtable[[#This Row],[Age]]&lt;18, "YES","NO")</f>
        <v>NO</v>
      </c>
      <c r="O90" t="str">
        <f>IF(Cleanedtable[[#This Row],[SIBLINGS/SPOUSES]]&gt;0,"YES","NO")</f>
        <v>NO</v>
      </c>
      <c r="P90" t="str">
        <f>IF(Cleanedtable[[#This Row],[Parch]]&gt;0,"YES","NO")</f>
        <v>NO</v>
      </c>
    </row>
    <row r="91" spans="1:16" x14ac:dyDescent="0.35">
      <c r="A91">
        <v>981</v>
      </c>
      <c r="B91">
        <v>0</v>
      </c>
      <c r="C91">
        <v>2</v>
      </c>
      <c r="D91" t="s">
        <v>148</v>
      </c>
      <c r="E91" t="s">
        <v>11</v>
      </c>
      <c r="F91" t="str">
        <f>IF(Cleanedtable[[#This Row],[Age]]&lt;18,"TEEN",IF(Cleanedtable[[#This Row],[Age]]&lt;30,"YOUTH",IF(Cleanedtable[[#This Row],[Age]]&lt;=59,"ADULT",IF(Cleanedtable[[#This Row],[Age]]&gt;=60,"ELDER"))))</f>
        <v>TEEN</v>
      </c>
      <c r="G91">
        <v>2</v>
      </c>
      <c r="H91">
        <v>1</v>
      </c>
      <c r="I91">
        <v>1</v>
      </c>
      <c r="J91" t="s">
        <v>694</v>
      </c>
      <c r="K91">
        <v>23</v>
      </c>
      <c r="M91" t="s">
        <v>15</v>
      </c>
      <c r="N91" t="str">
        <f>IF(Cleanedtable[[#This Row],[Age]]&lt;18, "YES","NO")</f>
        <v>YES</v>
      </c>
      <c r="O91" t="str">
        <f>IF(Cleanedtable[[#This Row],[SIBLINGS/SPOUSES]]&gt;0,"YES","NO")</f>
        <v>YES</v>
      </c>
      <c r="P91" t="str">
        <f>IF(Cleanedtable[[#This Row],[Parch]]&gt;0,"YES","NO")</f>
        <v>YES</v>
      </c>
    </row>
    <row r="92" spans="1:16" x14ac:dyDescent="0.35">
      <c r="A92">
        <v>982</v>
      </c>
      <c r="B92">
        <v>1</v>
      </c>
      <c r="C92">
        <v>3</v>
      </c>
      <c r="D92" t="s">
        <v>149</v>
      </c>
      <c r="E92" t="s">
        <v>14</v>
      </c>
      <c r="F92" t="str">
        <f>IF(Cleanedtable[[#This Row],[Age]]&lt;18,"TEEN",IF(Cleanedtable[[#This Row],[Age]]&lt;30,"YOUTH",IF(Cleanedtable[[#This Row],[Age]]&lt;=59,"ADULT",IF(Cleanedtable[[#This Row],[Age]]&gt;=60,"ELDER"))))</f>
        <v>YOUTH</v>
      </c>
      <c r="G92">
        <v>22</v>
      </c>
      <c r="H92">
        <v>1</v>
      </c>
      <c r="I92">
        <v>0</v>
      </c>
      <c r="J92" t="s">
        <v>695</v>
      </c>
      <c r="K92">
        <v>13.9</v>
      </c>
      <c r="M92" t="s">
        <v>15</v>
      </c>
      <c r="N92" t="str">
        <f>IF(Cleanedtable[[#This Row],[Age]]&lt;18, "YES","NO")</f>
        <v>NO</v>
      </c>
      <c r="O92" t="str">
        <f>IF(Cleanedtable[[#This Row],[SIBLINGS/SPOUSES]]&gt;0,"YES","NO")</f>
        <v>YES</v>
      </c>
      <c r="P92" t="str">
        <f>IF(Cleanedtable[[#This Row],[Parch]]&gt;0,"YES","NO")</f>
        <v>NO</v>
      </c>
    </row>
    <row r="93" spans="1:16" x14ac:dyDescent="0.35">
      <c r="A93">
        <v>983</v>
      </c>
      <c r="B93">
        <v>0</v>
      </c>
      <c r="C93">
        <v>3</v>
      </c>
      <c r="D93" t="s">
        <v>150</v>
      </c>
      <c r="E93" t="s">
        <v>11</v>
      </c>
      <c r="F93" t="str">
        <f>IF(Cleanedtable[[#This Row],[Age]]&lt;18,"TEEN",IF(Cleanedtable[[#This Row],[Age]]&lt;30,"YOUTH",IF(Cleanedtable[[#This Row],[Age]]&lt;=59,"ADULT",IF(Cleanedtable[[#This Row],[Age]]&gt;=60,"ELDER"))))</f>
        <v>ADULT</v>
      </c>
      <c r="G93">
        <v>30.2</v>
      </c>
      <c r="H93">
        <v>0</v>
      </c>
      <c r="I93">
        <v>0</v>
      </c>
      <c r="J93" t="s">
        <v>696</v>
      </c>
      <c r="K93">
        <v>7.7750000000000004</v>
      </c>
      <c r="M93" t="s">
        <v>15</v>
      </c>
      <c r="N93" t="str">
        <f>IF(Cleanedtable[[#This Row],[Age]]&lt;18, "YES","NO")</f>
        <v>NO</v>
      </c>
      <c r="O93" t="str">
        <f>IF(Cleanedtable[[#This Row],[SIBLINGS/SPOUSES]]&gt;0,"YES","NO")</f>
        <v>NO</v>
      </c>
      <c r="P93" t="str">
        <f>IF(Cleanedtable[[#This Row],[Parch]]&gt;0,"YES","NO")</f>
        <v>NO</v>
      </c>
    </row>
    <row r="94" spans="1:16" x14ac:dyDescent="0.35">
      <c r="A94">
        <v>984</v>
      </c>
      <c r="B94">
        <v>1</v>
      </c>
      <c r="C94">
        <v>1</v>
      </c>
      <c r="D94" t="s">
        <v>151</v>
      </c>
      <c r="E94" t="s">
        <v>14</v>
      </c>
      <c r="F94" t="str">
        <f>IF(Cleanedtable[[#This Row],[Age]]&lt;18,"TEEN",IF(Cleanedtable[[#This Row],[Age]]&lt;30,"YOUTH",IF(Cleanedtable[[#This Row],[Age]]&lt;=59,"ADULT",IF(Cleanedtable[[#This Row],[Age]]&gt;=60,"ELDER"))))</f>
        <v>YOUTH</v>
      </c>
      <c r="G94">
        <v>27</v>
      </c>
      <c r="H94">
        <v>1</v>
      </c>
      <c r="I94">
        <v>2</v>
      </c>
      <c r="J94" t="s">
        <v>152</v>
      </c>
      <c r="K94">
        <v>52</v>
      </c>
      <c r="L94" t="s">
        <v>153</v>
      </c>
      <c r="M94" t="s">
        <v>15</v>
      </c>
      <c r="N94" t="str">
        <f>IF(Cleanedtable[[#This Row],[Age]]&lt;18, "YES","NO")</f>
        <v>NO</v>
      </c>
      <c r="O94" t="str">
        <f>IF(Cleanedtable[[#This Row],[SIBLINGS/SPOUSES]]&gt;0,"YES","NO")</f>
        <v>YES</v>
      </c>
      <c r="P94" t="str">
        <f>IF(Cleanedtable[[#This Row],[Parch]]&gt;0,"YES","NO")</f>
        <v>YES</v>
      </c>
    </row>
    <row r="95" spans="1:16" x14ac:dyDescent="0.35">
      <c r="A95">
        <v>985</v>
      </c>
      <c r="B95">
        <v>0</v>
      </c>
      <c r="C95">
        <v>3</v>
      </c>
      <c r="D95" t="s">
        <v>154</v>
      </c>
      <c r="E95" t="s">
        <v>11</v>
      </c>
      <c r="F95" t="str">
        <f>IF(Cleanedtable[[#This Row],[Age]]&lt;18,"TEEN",IF(Cleanedtable[[#This Row],[Age]]&lt;30,"YOUTH",IF(Cleanedtable[[#This Row],[Age]]&lt;=59,"ADULT",IF(Cleanedtable[[#This Row],[Age]]&gt;=60,"ELDER"))))</f>
        <v>ADULT</v>
      </c>
      <c r="G95">
        <v>30.2</v>
      </c>
      <c r="H95">
        <v>0</v>
      </c>
      <c r="I95">
        <v>0</v>
      </c>
      <c r="J95" t="s">
        <v>697</v>
      </c>
      <c r="K95">
        <v>8.0500000000000007</v>
      </c>
      <c r="M95" t="s">
        <v>15</v>
      </c>
      <c r="N95" t="str">
        <f>IF(Cleanedtable[[#This Row],[Age]]&lt;18, "YES","NO")</f>
        <v>NO</v>
      </c>
      <c r="O95" t="str">
        <f>IF(Cleanedtable[[#This Row],[SIBLINGS/SPOUSES]]&gt;0,"YES","NO")</f>
        <v>NO</v>
      </c>
      <c r="P95" t="str">
        <f>IF(Cleanedtable[[#This Row],[Parch]]&gt;0,"YES","NO")</f>
        <v>NO</v>
      </c>
    </row>
    <row r="96" spans="1:16" x14ac:dyDescent="0.35">
      <c r="A96">
        <v>986</v>
      </c>
      <c r="B96">
        <v>0</v>
      </c>
      <c r="C96">
        <v>1</v>
      </c>
      <c r="D96" t="s">
        <v>155</v>
      </c>
      <c r="E96" t="s">
        <v>11</v>
      </c>
      <c r="F96" t="str">
        <f>IF(Cleanedtable[[#This Row],[Age]]&lt;18,"TEEN",IF(Cleanedtable[[#This Row],[Age]]&lt;30,"YOUTH",IF(Cleanedtable[[#This Row],[Age]]&lt;=59,"ADULT",IF(Cleanedtable[[#This Row],[Age]]&gt;=60,"ELDER"))))</f>
        <v>YOUTH</v>
      </c>
      <c r="G96">
        <v>25</v>
      </c>
      <c r="H96">
        <v>0</v>
      </c>
      <c r="I96">
        <v>0</v>
      </c>
      <c r="J96" t="s">
        <v>698</v>
      </c>
      <c r="K96">
        <v>26</v>
      </c>
      <c r="M96" t="s">
        <v>23</v>
      </c>
      <c r="N96" t="str">
        <f>IF(Cleanedtable[[#This Row],[Age]]&lt;18, "YES","NO")</f>
        <v>NO</v>
      </c>
      <c r="O96" t="str">
        <f>IF(Cleanedtable[[#This Row],[SIBLINGS/SPOUSES]]&gt;0,"YES","NO")</f>
        <v>NO</v>
      </c>
      <c r="P96" t="str">
        <f>IF(Cleanedtable[[#This Row],[Parch]]&gt;0,"YES","NO")</f>
        <v>NO</v>
      </c>
    </row>
    <row r="97" spans="1:16" x14ac:dyDescent="0.35">
      <c r="A97">
        <v>987</v>
      </c>
      <c r="B97">
        <v>0</v>
      </c>
      <c r="C97">
        <v>3</v>
      </c>
      <c r="D97" t="s">
        <v>156</v>
      </c>
      <c r="E97" t="s">
        <v>11</v>
      </c>
      <c r="F97" t="str">
        <f>IF(Cleanedtable[[#This Row],[Age]]&lt;18,"TEEN",IF(Cleanedtable[[#This Row],[Age]]&lt;30,"YOUTH",IF(Cleanedtable[[#This Row],[Age]]&lt;=59,"ADULT",IF(Cleanedtable[[#This Row],[Age]]&gt;=60,"ELDER"))))</f>
        <v>YOUTH</v>
      </c>
      <c r="G97">
        <v>25</v>
      </c>
      <c r="H97">
        <v>0</v>
      </c>
      <c r="I97">
        <v>0</v>
      </c>
      <c r="J97" t="s">
        <v>699</v>
      </c>
      <c r="K97">
        <v>7.7957999999999998</v>
      </c>
      <c r="M97" t="s">
        <v>15</v>
      </c>
      <c r="N97" t="str">
        <f>IF(Cleanedtable[[#This Row],[Age]]&lt;18, "YES","NO")</f>
        <v>NO</v>
      </c>
      <c r="O97" t="str">
        <f>IF(Cleanedtable[[#This Row],[SIBLINGS/SPOUSES]]&gt;0,"YES","NO")</f>
        <v>NO</v>
      </c>
      <c r="P97" t="str">
        <f>IF(Cleanedtable[[#This Row],[Parch]]&gt;0,"YES","NO")</f>
        <v>NO</v>
      </c>
    </row>
    <row r="98" spans="1:16" x14ac:dyDescent="0.35">
      <c r="A98">
        <v>988</v>
      </c>
      <c r="B98">
        <v>1</v>
      </c>
      <c r="C98">
        <v>1</v>
      </c>
      <c r="D98" t="s">
        <v>157</v>
      </c>
      <c r="E98" t="s">
        <v>14</v>
      </c>
      <c r="F98" t="str">
        <f>IF(Cleanedtable[[#This Row],[Age]]&lt;18,"TEEN",IF(Cleanedtable[[#This Row],[Age]]&lt;30,"YOUTH",IF(Cleanedtable[[#This Row],[Age]]&lt;=59,"ADULT",IF(Cleanedtable[[#This Row],[Age]]&gt;=60,"ELDER"))))</f>
        <v>ELDER</v>
      </c>
      <c r="G98">
        <v>76</v>
      </c>
      <c r="H98">
        <v>1</v>
      </c>
      <c r="I98">
        <v>0</v>
      </c>
      <c r="J98" t="s">
        <v>700</v>
      </c>
      <c r="K98">
        <v>78.849999999999994</v>
      </c>
      <c r="L98" t="s">
        <v>158</v>
      </c>
      <c r="M98" t="s">
        <v>15</v>
      </c>
      <c r="N98" t="str">
        <f>IF(Cleanedtable[[#This Row],[Age]]&lt;18, "YES","NO")</f>
        <v>NO</v>
      </c>
      <c r="O98" t="str">
        <f>IF(Cleanedtable[[#This Row],[SIBLINGS/SPOUSES]]&gt;0,"YES","NO")</f>
        <v>YES</v>
      </c>
      <c r="P98" t="str">
        <f>IF(Cleanedtable[[#This Row],[Parch]]&gt;0,"YES","NO")</f>
        <v>NO</v>
      </c>
    </row>
    <row r="99" spans="1:16" x14ac:dyDescent="0.35">
      <c r="A99">
        <v>989</v>
      </c>
      <c r="B99">
        <v>0</v>
      </c>
      <c r="C99">
        <v>3</v>
      </c>
      <c r="D99" t="s">
        <v>159</v>
      </c>
      <c r="E99" t="s">
        <v>11</v>
      </c>
      <c r="F99" t="str">
        <f>IF(Cleanedtable[[#This Row],[Age]]&lt;18,"TEEN",IF(Cleanedtable[[#This Row],[Age]]&lt;30,"YOUTH",IF(Cleanedtable[[#This Row],[Age]]&lt;=59,"ADULT",IF(Cleanedtable[[#This Row],[Age]]&gt;=60,"ELDER"))))</f>
        <v>YOUTH</v>
      </c>
      <c r="G99">
        <v>29</v>
      </c>
      <c r="H99">
        <v>0</v>
      </c>
      <c r="I99">
        <v>0</v>
      </c>
      <c r="J99" t="s">
        <v>701</v>
      </c>
      <c r="K99">
        <v>7.9249999999999998</v>
      </c>
      <c r="M99" t="s">
        <v>15</v>
      </c>
      <c r="N99" t="str">
        <f>IF(Cleanedtable[[#This Row],[Age]]&lt;18, "YES","NO")</f>
        <v>NO</v>
      </c>
      <c r="O99" t="str">
        <f>IF(Cleanedtable[[#This Row],[SIBLINGS/SPOUSES]]&gt;0,"YES","NO")</f>
        <v>NO</v>
      </c>
      <c r="P99" t="str">
        <f>IF(Cleanedtable[[#This Row],[Parch]]&gt;0,"YES","NO")</f>
        <v>NO</v>
      </c>
    </row>
    <row r="100" spans="1:16" x14ac:dyDescent="0.35">
      <c r="A100">
        <v>990</v>
      </c>
      <c r="B100">
        <v>1</v>
      </c>
      <c r="C100">
        <v>3</v>
      </c>
      <c r="D100" t="s">
        <v>161</v>
      </c>
      <c r="E100" t="s">
        <v>14</v>
      </c>
      <c r="F100" t="str">
        <f>IF(Cleanedtable[[#This Row],[Age]]&lt;18,"TEEN",IF(Cleanedtable[[#This Row],[Age]]&lt;30,"YOUTH",IF(Cleanedtable[[#This Row],[Age]]&lt;=59,"ADULT",IF(Cleanedtable[[#This Row],[Age]]&gt;=60,"ELDER"))))</f>
        <v>YOUTH</v>
      </c>
      <c r="G100">
        <v>20</v>
      </c>
      <c r="H100">
        <v>0</v>
      </c>
      <c r="I100">
        <v>0</v>
      </c>
      <c r="J100" t="s">
        <v>702</v>
      </c>
      <c r="K100">
        <v>7.8541999999999996</v>
      </c>
      <c r="M100" t="s">
        <v>15</v>
      </c>
      <c r="N100" t="str">
        <f>IF(Cleanedtable[[#This Row],[Age]]&lt;18, "YES","NO")</f>
        <v>NO</v>
      </c>
      <c r="O100" t="str">
        <f>IF(Cleanedtable[[#This Row],[SIBLINGS/SPOUSES]]&gt;0,"YES","NO")</f>
        <v>NO</v>
      </c>
      <c r="P100" t="str">
        <f>IF(Cleanedtable[[#This Row],[Parch]]&gt;0,"YES","NO")</f>
        <v>NO</v>
      </c>
    </row>
    <row r="101" spans="1:16" x14ac:dyDescent="0.35">
      <c r="A101">
        <v>991</v>
      </c>
      <c r="B101">
        <v>0</v>
      </c>
      <c r="C101">
        <v>3</v>
      </c>
      <c r="D101" t="s">
        <v>162</v>
      </c>
      <c r="E101" t="s">
        <v>11</v>
      </c>
      <c r="F101" t="str">
        <f>IF(Cleanedtable[[#This Row],[Age]]&lt;18,"TEEN",IF(Cleanedtable[[#This Row],[Age]]&lt;30,"YOUTH",IF(Cleanedtable[[#This Row],[Age]]&lt;=59,"ADULT",IF(Cleanedtable[[#This Row],[Age]]&gt;=60,"ELDER"))))</f>
        <v>ADULT</v>
      </c>
      <c r="G101">
        <v>33</v>
      </c>
      <c r="H101">
        <v>0</v>
      </c>
      <c r="I101">
        <v>0</v>
      </c>
      <c r="J101" t="s">
        <v>163</v>
      </c>
      <c r="K101">
        <v>8.0500000000000007</v>
      </c>
      <c r="M101" t="s">
        <v>15</v>
      </c>
      <c r="N101" t="str">
        <f>IF(Cleanedtable[[#This Row],[Age]]&lt;18, "YES","NO")</f>
        <v>NO</v>
      </c>
      <c r="O101" t="str">
        <f>IF(Cleanedtable[[#This Row],[SIBLINGS/SPOUSES]]&gt;0,"YES","NO")</f>
        <v>NO</v>
      </c>
      <c r="P101" t="str">
        <f>IF(Cleanedtable[[#This Row],[Parch]]&gt;0,"YES","NO")</f>
        <v>NO</v>
      </c>
    </row>
    <row r="102" spans="1:16" x14ac:dyDescent="0.35">
      <c r="A102">
        <v>992</v>
      </c>
      <c r="B102">
        <v>1</v>
      </c>
      <c r="C102">
        <v>1</v>
      </c>
      <c r="D102" t="s">
        <v>164</v>
      </c>
      <c r="E102" t="s">
        <v>14</v>
      </c>
      <c r="F102" t="str">
        <f>IF(Cleanedtable[[#This Row],[Age]]&lt;18,"TEEN",IF(Cleanedtable[[#This Row],[Age]]&lt;30,"YOUTH",IF(Cleanedtable[[#This Row],[Age]]&lt;=59,"ADULT",IF(Cleanedtable[[#This Row],[Age]]&gt;=60,"ELDER"))))</f>
        <v>ADULT</v>
      </c>
      <c r="G102">
        <v>43</v>
      </c>
      <c r="H102">
        <v>1</v>
      </c>
      <c r="I102">
        <v>0</v>
      </c>
      <c r="J102" t="s">
        <v>703</v>
      </c>
      <c r="K102">
        <v>55.441699999999997</v>
      </c>
      <c r="L102" t="s">
        <v>165</v>
      </c>
      <c r="M102" t="s">
        <v>23</v>
      </c>
      <c r="N102" t="str">
        <f>IF(Cleanedtable[[#This Row],[Age]]&lt;18, "YES","NO")</f>
        <v>NO</v>
      </c>
      <c r="O102" t="str">
        <f>IF(Cleanedtable[[#This Row],[SIBLINGS/SPOUSES]]&gt;0,"YES","NO")</f>
        <v>YES</v>
      </c>
      <c r="P102" t="str">
        <f>IF(Cleanedtable[[#This Row],[Parch]]&gt;0,"YES","NO")</f>
        <v>NO</v>
      </c>
    </row>
    <row r="103" spans="1:16" x14ac:dyDescent="0.35">
      <c r="A103">
        <v>993</v>
      </c>
      <c r="B103">
        <v>0</v>
      </c>
      <c r="C103">
        <v>2</v>
      </c>
      <c r="D103" t="s">
        <v>166</v>
      </c>
      <c r="E103" t="s">
        <v>11</v>
      </c>
      <c r="F103" t="str">
        <f>IF(Cleanedtable[[#This Row],[Age]]&lt;18,"TEEN",IF(Cleanedtable[[#This Row],[Age]]&lt;30,"YOUTH",IF(Cleanedtable[[#This Row],[Age]]&lt;=59,"ADULT",IF(Cleanedtable[[#This Row],[Age]]&gt;=60,"ELDER"))))</f>
        <v>YOUTH</v>
      </c>
      <c r="G103">
        <v>27</v>
      </c>
      <c r="H103">
        <v>1</v>
      </c>
      <c r="I103">
        <v>0</v>
      </c>
      <c r="J103" t="s">
        <v>704</v>
      </c>
      <c r="K103">
        <v>26</v>
      </c>
      <c r="M103" t="s">
        <v>15</v>
      </c>
      <c r="N103" t="str">
        <f>IF(Cleanedtable[[#This Row],[Age]]&lt;18, "YES","NO")</f>
        <v>NO</v>
      </c>
      <c r="O103" t="str">
        <f>IF(Cleanedtable[[#This Row],[SIBLINGS/SPOUSES]]&gt;0,"YES","NO")</f>
        <v>YES</v>
      </c>
      <c r="P103" t="str">
        <f>IF(Cleanedtable[[#This Row],[Parch]]&gt;0,"YES","NO")</f>
        <v>NO</v>
      </c>
    </row>
    <row r="104" spans="1:16" x14ac:dyDescent="0.35">
      <c r="A104">
        <v>994</v>
      </c>
      <c r="B104">
        <v>0</v>
      </c>
      <c r="C104">
        <v>3</v>
      </c>
      <c r="D104" t="s">
        <v>167</v>
      </c>
      <c r="E104" t="s">
        <v>11</v>
      </c>
      <c r="F104" t="str">
        <f>IF(Cleanedtable[[#This Row],[Age]]&lt;18,"TEEN",IF(Cleanedtable[[#This Row],[Age]]&lt;30,"YOUTH",IF(Cleanedtable[[#This Row],[Age]]&lt;=59,"ADULT",IF(Cleanedtable[[#This Row],[Age]]&gt;=60,"ELDER"))))</f>
        <v>ADULT</v>
      </c>
      <c r="G104">
        <v>30.2</v>
      </c>
      <c r="H104">
        <v>0</v>
      </c>
      <c r="I104">
        <v>0</v>
      </c>
      <c r="J104" t="s">
        <v>705</v>
      </c>
      <c r="K104">
        <v>7.75</v>
      </c>
      <c r="M104" t="s">
        <v>12</v>
      </c>
      <c r="N104" t="str">
        <f>IF(Cleanedtable[[#This Row],[Age]]&lt;18, "YES","NO")</f>
        <v>NO</v>
      </c>
      <c r="O104" t="str">
        <f>IF(Cleanedtable[[#This Row],[SIBLINGS/SPOUSES]]&gt;0,"YES","NO")</f>
        <v>NO</v>
      </c>
      <c r="P104" t="str">
        <f>IF(Cleanedtable[[#This Row],[Parch]]&gt;0,"YES","NO")</f>
        <v>NO</v>
      </c>
    </row>
    <row r="105" spans="1:16" x14ac:dyDescent="0.35">
      <c r="A105">
        <v>995</v>
      </c>
      <c r="B105">
        <v>0</v>
      </c>
      <c r="C105">
        <v>3</v>
      </c>
      <c r="D105" t="s">
        <v>168</v>
      </c>
      <c r="E105" t="s">
        <v>11</v>
      </c>
      <c r="F105" t="str">
        <f>IF(Cleanedtable[[#This Row],[Age]]&lt;18,"TEEN",IF(Cleanedtable[[#This Row],[Age]]&lt;30,"YOUTH",IF(Cleanedtable[[#This Row],[Age]]&lt;=59,"ADULT",IF(Cleanedtable[[#This Row],[Age]]&gt;=60,"ELDER"))))</f>
        <v>YOUTH</v>
      </c>
      <c r="G105">
        <v>26</v>
      </c>
      <c r="H105">
        <v>0</v>
      </c>
      <c r="I105">
        <v>0</v>
      </c>
      <c r="J105" t="s">
        <v>706</v>
      </c>
      <c r="K105">
        <v>7.7750000000000004</v>
      </c>
      <c r="M105" t="s">
        <v>15</v>
      </c>
      <c r="N105" t="str">
        <f>IF(Cleanedtable[[#This Row],[Age]]&lt;18, "YES","NO")</f>
        <v>NO</v>
      </c>
      <c r="O105" t="str">
        <f>IF(Cleanedtable[[#This Row],[SIBLINGS/SPOUSES]]&gt;0,"YES","NO")</f>
        <v>NO</v>
      </c>
      <c r="P105" t="str">
        <f>IF(Cleanedtable[[#This Row],[Parch]]&gt;0,"YES","NO")</f>
        <v>NO</v>
      </c>
    </row>
    <row r="106" spans="1:16" x14ac:dyDescent="0.35">
      <c r="A106">
        <v>996</v>
      </c>
      <c r="B106">
        <v>1</v>
      </c>
      <c r="C106">
        <v>3</v>
      </c>
      <c r="D106" t="s">
        <v>169</v>
      </c>
      <c r="E106" t="s">
        <v>14</v>
      </c>
      <c r="F106" t="str">
        <f>IF(Cleanedtable[[#This Row],[Age]]&lt;18,"TEEN",IF(Cleanedtable[[#This Row],[Age]]&lt;30,"YOUTH",IF(Cleanedtable[[#This Row],[Age]]&lt;=59,"ADULT",IF(Cleanedtable[[#This Row],[Age]]&gt;=60,"ELDER"))))</f>
        <v>TEEN</v>
      </c>
      <c r="G106">
        <v>16</v>
      </c>
      <c r="H106">
        <v>1</v>
      </c>
      <c r="I106">
        <v>1</v>
      </c>
      <c r="J106" t="s">
        <v>707</v>
      </c>
      <c r="K106">
        <v>8.5167000000000002</v>
      </c>
      <c r="M106" t="s">
        <v>23</v>
      </c>
      <c r="N106" t="str">
        <f>IF(Cleanedtable[[#This Row],[Age]]&lt;18, "YES","NO")</f>
        <v>YES</v>
      </c>
      <c r="O106" t="str">
        <f>IF(Cleanedtable[[#This Row],[SIBLINGS/SPOUSES]]&gt;0,"YES","NO")</f>
        <v>YES</v>
      </c>
      <c r="P106" t="str">
        <f>IF(Cleanedtable[[#This Row],[Parch]]&gt;0,"YES","NO")</f>
        <v>YES</v>
      </c>
    </row>
    <row r="107" spans="1:16" x14ac:dyDescent="0.35">
      <c r="A107">
        <v>997</v>
      </c>
      <c r="B107">
        <v>0</v>
      </c>
      <c r="C107">
        <v>3</v>
      </c>
      <c r="D107" t="s">
        <v>170</v>
      </c>
      <c r="E107" t="s">
        <v>11</v>
      </c>
      <c r="F107" t="str">
        <f>IF(Cleanedtable[[#This Row],[Age]]&lt;18,"TEEN",IF(Cleanedtable[[#This Row],[Age]]&lt;30,"YOUTH",IF(Cleanedtable[[#This Row],[Age]]&lt;=59,"ADULT",IF(Cleanedtable[[#This Row],[Age]]&gt;=60,"ELDER"))))</f>
        <v>YOUTH</v>
      </c>
      <c r="G107">
        <v>28</v>
      </c>
      <c r="H107">
        <v>0</v>
      </c>
      <c r="I107">
        <v>0</v>
      </c>
      <c r="J107" t="s">
        <v>171</v>
      </c>
      <c r="K107">
        <v>22.524999999999999</v>
      </c>
      <c r="M107" t="s">
        <v>15</v>
      </c>
      <c r="N107" t="str">
        <f>IF(Cleanedtable[[#This Row],[Age]]&lt;18, "YES","NO")</f>
        <v>NO</v>
      </c>
      <c r="O107" t="str">
        <f>IF(Cleanedtable[[#This Row],[SIBLINGS/SPOUSES]]&gt;0,"YES","NO")</f>
        <v>NO</v>
      </c>
      <c r="P107" t="str">
        <f>IF(Cleanedtable[[#This Row],[Parch]]&gt;0,"YES","NO")</f>
        <v>NO</v>
      </c>
    </row>
    <row r="108" spans="1:16" x14ac:dyDescent="0.35">
      <c r="A108">
        <v>998</v>
      </c>
      <c r="B108">
        <v>0</v>
      </c>
      <c r="C108">
        <v>3</v>
      </c>
      <c r="D108" t="s">
        <v>172</v>
      </c>
      <c r="E108" t="s">
        <v>11</v>
      </c>
      <c r="F108" t="str">
        <f>IF(Cleanedtable[[#This Row],[Age]]&lt;18,"TEEN",IF(Cleanedtable[[#This Row],[Age]]&lt;30,"YOUTH",IF(Cleanedtable[[#This Row],[Age]]&lt;=59,"ADULT",IF(Cleanedtable[[#This Row],[Age]]&gt;=60,"ELDER"))))</f>
        <v>YOUTH</v>
      </c>
      <c r="G108">
        <v>21</v>
      </c>
      <c r="H108">
        <v>0</v>
      </c>
      <c r="I108">
        <v>0</v>
      </c>
      <c r="J108" t="s">
        <v>708</v>
      </c>
      <c r="K108">
        <v>7.8208000000000002</v>
      </c>
      <c r="M108" t="s">
        <v>12</v>
      </c>
      <c r="N108" t="str">
        <f>IF(Cleanedtable[[#This Row],[Age]]&lt;18, "YES","NO")</f>
        <v>NO</v>
      </c>
      <c r="O108" t="str">
        <f>IF(Cleanedtable[[#This Row],[SIBLINGS/SPOUSES]]&gt;0,"YES","NO")</f>
        <v>NO</v>
      </c>
      <c r="P108" t="str">
        <f>IF(Cleanedtable[[#This Row],[Parch]]&gt;0,"YES","NO")</f>
        <v>NO</v>
      </c>
    </row>
    <row r="109" spans="1:16" x14ac:dyDescent="0.35">
      <c r="A109">
        <v>999</v>
      </c>
      <c r="B109">
        <v>0</v>
      </c>
      <c r="C109">
        <v>3</v>
      </c>
      <c r="D109" t="s">
        <v>173</v>
      </c>
      <c r="E109" t="s">
        <v>11</v>
      </c>
      <c r="F109" t="str">
        <f>IF(Cleanedtable[[#This Row],[Age]]&lt;18,"TEEN",IF(Cleanedtable[[#This Row],[Age]]&lt;30,"YOUTH",IF(Cleanedtable[[#This Row],[Age]]&lt;=59,"ADULT",IF(Cleanedtable[[#This Row],[Age]]&gt;=60,"ELDER"))))</f>
        <v>ADULT</v>
      </c>
      <c r="G109">
        <v>30.2</v>
      </c>
      <c r="H109">
        <v>0</v>
      </c>
      <c r="I109">
        <v>0</v>
      </c>
      <c r="J109" t="s">
        <v>709</v>
      </c>
      <c r="K109">
        <v>7.75</v>
      </c>
      <c r="M109" t="s">
        <v>12</v>
      </c>
      <c r="N109" t="str">
        <f>IF(Cleanedtable[[#This Row],[Age]]&lt;18, "YES","NO")</f>
        <v>NO</v>
      </c>
      <c r="O109" t="str">
        <f>IF(Cleanedtable[[#This Row],[SIBLINGS/SPOUSES]]&gt;0,"YES","NO")</f>
        <v>NO</v>
      </c>
      <c r="P109" t="str">
        <f>IF(Cleanedtable[[#This Row],[Parch]]&gt;0,"YES","NO")</f>
        <v>NO</v>
      </c>
    </row>
    <row r="110" spans="1:16" x14ac:dyDescent="0.35">
      <c r="A110">
        <v>1000</v>
      </c>
      <c r="B110">
        <v>0</v>
      </c>
      <c r="C110">
        <v>3</v>
      </c>
      <c r="D110" t="s">
        <v>174</v>
      </c>
      <c r="E110" t="s">
        <v>11</v>
      </c>
      <c r="F110" t="str">
        <f>IF(Cleanedtable[[#This Row],[Age]]&lt;18,"TEEN",IF(Cleanedtable[[#This Row],[Age]]&lt;30,"YOUTH",IF(Cleanedtable[[#This Row],[Age]]&lt;=59,"ADULT",IF(Cleanedtable[[#This Row],[Age]]&gt;=60,"ELDER"))))</f>
        <v>ADULT</v>
      </c>
      <c r="G110">
        <v>30.2</v>
      </c>
      <c r="H110">
        <v>0</v>
      </c>
      <c r="I110">
        <v>0</v>
      </c>
      <c r="J110" t="s">
        <v>710</v>
      </c>
      <c r="K110">
        <v>8.7125000000000004</v>
      </c>
      <c r="M110" t="s">
        <v>15</v>
      </c>
      <c r="N110" t="str">
        <f>IF(Cleanedtable[[#This Row],[Age]]&lt;18, "YES","NO")</f>
        <v>NO</v>
      </c>
      <c r="O110" t="str">
        <f>IF(Cleanedtable[[#This Row],[SIBLINGS/SPOUSES]]&gt;0,"YES","NO")</f>
        <v>NO</v>
      </c>
      <c r="P110" t="str">
        <f>IF(Cleanedtable[[#This Row],[Parch]]&gt;0,"YES","NO")</f>
        <v>NO</v>
      </c>
    </row>
    <row r="111" spans="1:16" x14ac:dyDescent="0.35">
      <c r="A111">
        <v>1001</v>
      </c>
      <c r="B111">
        <v>0</v>
      </c>
      <c r="C111">
        <v>2</v>
      </c>
      <c r="D111" t="s">
        <v>175</v>
      </c>
      <c r="E111" t="s">
        <v>11</v>
      </c>
      <c r="F111" t="str">
        <f>IF(Cleanedtable[[#This Row],[Age]]&lt;18,"TEEN",IF(Cleanedtable[[#This Row],[Age]]&lt;30,"YOUTH",IF(Cleanedtable[[#This Row],[Age]]&lt;=59,"ADULT",IF(Cleanedtable[[#This Row],[Age]]&gt;=60,"ELDER"))))</f>
        <v>YOUTH</v>
      </c>
      <c r="G111">
        <v>18.5</v>
      </c>
      <c r="H111">
        <v>0</v>
      </c>
      <c r="I111">
        <v>0</v>
      </c>
      <c r="J111" t="s">
        <v>711</v>
      </c>
      <c r="K111">
        <v>13</v>
      </c>
      <c r="L111" t="s">
        <v>176</v>
      </c>
      <c r="M111" t="s">
        <v>15</v>
      </c>
      <c r="N111" t="str">
        <f>IF(Cleanedtable[[#This Row],[Age]]&lt;18, "YES","NO")</f>
        <v>NO</v>
      </c>
      <c r="O111" t="str">
        <f>IF(Cleanedtable[[#This Row],[SIBLINGS/SPOUSES]]&gt;0,"YES","NO")</f>
        <v>NO</v>
      </c>
      <c r="P111" t="str">
        <f>IF(Cleanedtable[[#This Row],[Parch]]&gt;0,"YES","NO")</f>
        <v>NO</v>
      </c>
    </row>
    <row r="112" spans="1:16" x14ac:dyDescent="0.35">
      <c r="A112">
        <v>1002</v>
      </c>
      <c r="B112">
        <v>0</v>
      </c>
      <c r="C112">
        <v>2</v>
      </c>
      <c r="D112" t="s">
        <v>177</v>
      </c>
      <c r="E112" t="s">
        <v>11</v>
      </c>
      <c r="F112" t="str">
        <f>IF(Cleanedtable[[#This Row],[Age]]&lt;18,"TEEN",IF(Cleanedtable[[#This Row],[Age]]&lt;30,"YOUTH",IF(Cleanedtable[[#This Row],[Age]]&lt;=59,"ADULT",IF(Cleanedtable[[#This Row],[Age]]&gt;=60,"ELDER"))))</f>
        <v>ADULT</v>
      </c>
      <c r="G112">
        <v>41</v>
      </c>
      <c r="H112">
        <v>0</v>
      </c>
      <c r="I112">
        <v>0</v>
      </c>
      <c r="J112" t="s">
        <v>712</v>
      </c>
      <c r="K112">
        <v>15.0458</v>
      </c>
      <c r="M112" t="s">
        <v>23</v>
      </c>
      <c r="N112" t="str">
        <f>IF(Cleanedtable[[#This Row],[Age]]&lt;18, "YES","NO")</f>
        <v>NO</v>
      </c>
      <c r="O112" t="str">
        <f>IF(Cleanedtable[[#This Row],[SIBLINGS/SPOUSES]]&gt;0,"YES","NO")</f>
        <v>NO</v>
      </c>
      <c r="P112" t="str">
        <f>IF(Cleanedtable[[#This Row],[Parch]]&gt;0,"YES","NO")</f>
        <v>NO</v>
      </c>
    </row>
    <row r="113" spans="1:16" x14ac:dyDescent="0.35">
      <c r="A113">
        <v>1003</v>
      </c>
      <c r="B113">
        <v>1</v>
      </c>
      <c r="C113">
        <v>3</v>
      </c>
      <c r="D113" t="s">
        <v>178</v>
      </c>
      <c r="E113" t="s">
        <v>14</v>
      </c>
      <c r="F113" t="str">
        <f>IF(Cleanedtable[[#This Row],[Age]]&lt;18,"TEEN",IF(Cleanedtable[[#This Row],[Age]]&lt;30,"YOUTH",IF(Cleanedtable[[#This Row],[Age]]&lt;=59,"ADULT",IF(Cleanedtable[[#This Row],[Age]]&gt;=60,"ELDER"))))</f>
        <v>ADULT</v>
      </c>
      <c r="G113">
        <v>30.2</v>
      </c>
      <c r="H113">
        <v>0</v>
      </c>
      <c r="I113">
        <v>0</v>
      </c>
      <c r="J113" t="s">
        <v>713</v>
      </c>
      <c r="K113">
        <v>7.7792000000000003</v>
      </c>
      <c r="M113" t="s">
        <v>12</v>
      </c>
      <c r="N113" t="str">
        <f>IF(Cleanedtable[[#This Row],[Age]]&lt;18, "YES","NO")</f>
        <v>NO</v>
      </c>
      <c r="O113" t="str">
        <f>IF(Cleanedtable[[#This Row],[SIBLINGS/SPOUSES]]&gt;0,"YES","NO")</f>
        <v>NO</v>
      </c>
      <c r="P113" t="str">
        <f>IF(Cleanedtable[[#This Row],[Parch]]&gt;0,"YES","NO")</f>
        <v>NO</v>
      </c>
    </row>
    <row r="114" spans="1:16" x14ac:dyDescent="0.35">
      <c r="A114">
        <v>1004</v>
      </c>
      <c r="B114">
        <v>1</v>
      </c>
      <c r="C114">
        <v>1</v>
      </c>
      <c r="D114" t="s">
        <v>179</v>
      </c>
      <c r="E114" t="s">
        <v>14</v>
      </c>
      <c r="F114" t="str">
        <f>IF(Cleanedtable[[#This Row],[Age]]&lt;18,"TEEN",IF(Cleanedtable[[#This Row],[Age]]&lt;30,"YOUTH",IF(Cleanedtable[[#This Row],[Age]]&lt;=59,"ADULT",IF(Cleanedtable[[#This Row],[Age]]&gt;=60,"ELDER"))))</f>
        <v>ADULT</v>
      </c>
      <c r="G114">
        <v>36</v>
      </c>
      <c r="H114">
        <v>0</v>
      </c>
      <c r="I114">
        <v>0</v>
      </c>
      <c r="J114" t="s">
        <v>714</v>
      </c>
      <c r="K114">
        <v>31.679200000000002</v>
      </c>
      <c r="L114" t="s">
        <v>181</v>
      </c>
      <c r="M114" t="s">
        <v>23</v>
      </c>
      <c r="N114" t="str">
        <f>IF(Cleanedtable[[#This Row],[Age]]&lt;18, "YES","NO")</f>
        <v>NO</v>
      </c>
      <c r="O114" t="str">
        <f>IF(Cleanedtable[[#This Row],[SIBLINGS/SPOUSES]]&gt;0,"YES","NO")</f>
        <v>NO</v>
      </c>
      <c r="P114" t="str">
        <f>IF(Cleanedtable[[#This Row],[Parch]]&gt;0,"YES","NO")</f>
        <v>NO</v>
      </c>
    </row>
    <row r="115" spans="1:16" x14ac:dyDescent="0.35">
      <c r="A115">
        <v>1005</v>
      </c>
      <c r="B115">
        <v>1</v>
      </c>
      <c r="C115">
        <v>3</v>
      </c>
      <c r="D115" t="s">
        <v>182</v>
      </c>
      <c r="E115" t="s">
        <v>14</v>
      </c>
      <c r="F115" t="str">
        <f>IF(Cleanedtable[[#This Row],[Age]]&lt;18,"TEEN",IF(Cleanedtable[[#This Row],[Age]]&lt;30,"YOUTH",IF(Cleanedtable[[#This Row],[Age]]&lt;=59,"ADULT",IF(Cleanedtable[[#This Row],[Age]]&gt;=60,"ELDER"))))</f>
        <v>YOUTH</v>
      </c>
      <c r="G115">
        <v>18.5</v>
      </c>
      <c r="H115">
        <v>0</v>
      </c>
      <c r="I115">
        <v>0</v>
      </c>
      <c r="J115" t="s">
        <v>715</v>
      </c>
      <c r="K115">
        <v>7.2832999999999997</v>
      </c>
      <c r="M115" t="s">
        <v>12</v>
      </c>
      <c r="N115" t="str">
        <f>IF(Cleanedtable[[#This Row],[Age]]&lt;18, "YES","NO")</f>
        <v>NO</v>
      </c>
      <c r="O115" t="str">
        <f>IF(Cleanedtable[[#This Row],[SIBLINGS/SPOUSES]]&gt;0,"YES","NO")</f>
        <v>NO</v>
      </c>
      <c r="P115" t="str">
        <f>IF(Cleanedtable[[#This Row],[Parch]]&gt;0,"YES","NO")</f>
        <v>NO</v>
      </c>
    </row>
    <row r="116" spans="1:16" x14ac:dyDescent="0.35">
      <c r="A116">
        <v>1006</v>
      </c>
      <c r="B116">
        <v>1</v>
      </c>
      <c r="C116">
        <v>1</v>
      </c>
      <c r="D116" t="s">
        <v>183</v>
      </c>
      <c r="E116" t="s">
        <v>14</v>
      </c>
      <c r="F116" t="str">
        <f>IF(Cleanedtable[[#This Row],[Age]]&lt;18,"TEEN",IF(Cleanedtable[[#This Row],[Age]]&lt;30,"YOUTH",IF(Cleanedtable[[#This Row],[Age]]&lt;=59,"ADULT",IF(Cleanedtable[[#This Row],[Age]]&gt;=60,"ELDER"))))</f>
        <v>ELDER</v>
      </c>
      <c r="G116">
        <v>63</v>
      </c>
      <c r="H116">
        <v>1</v>
      </c>
      <c r="I116">
        <v>0</v>
      </c>
      <c r="J116" t="s">
        <v>687</v>
      </c>
      <c r="K116">
        <v>221.7792</v>
      </c>
      <c r="L116" t="s">
        <v>139</v>
      </c>
      <c r="M116" t="s">
        <v>15</v>
      </c>
      <c r="N116" t="str">
        <f>IF(Cleanedtable[[#This Row],[Age]]&lt;18, "YES","NO")</f>
        <v>NO</v>
      </c>
      <c r="O116" t="str">
        <f>IF(Cleanedtable[[#This Row],[SIBLINGS/SPOUSES]]&gt;0,"YES","NO")</f>
        <v>YES</v>
      </c>
      <c r="P116" t="str">
        <f>IF(Cleanedtable[[#This Row],[Parch]]&gt;0,"YES","NO")</f>
        <v>NO</v>
      </c>
    </row>
    <row r="117" spans="1:16" x14ac:dyDescent="0.35">
      <c r="A117">
        <v>1007</v>
      </c>
      <c r="B117">
        <v>0</v>
      </c>
      <c r="C117">
        <v>3</v>
      </c>
      <c r="D117" t="s">
        <v>184</v>
      </c>
      <c r="E117" t="s">
        <v>11</v>
      </c>
      <c r="F117" t="str">
        <f>IF(Cleanedtable[[#This Row],[Age]]&lt;18,"TEEN",IF(Cleanedtable[[#This Row],[Age]]&lt;30,"YOUTH",IF(Cleanedtable[[#This Row],[Age]]&lt;=59,"ADULT",IF(Cleanedtable[[#This Row],[Age]]&gt;=60,"ELDER"))))</f>
        <v>YOUTH</v>
      </c>
      <c r="G117">
        <v>18</v>
      </c>
      <c r="H117">
        <v>1</v>
      </c>
      <c r="I117">
        <v>0</v>
      </c>
      <c r="J117" t="s">
        <v>716</v>
      </c>
      <c r="K117">
        <v>14.4542</v>
      </c>
      <c r="M117" t="s">
        <v>23</v>
      </c>
      <c r="N117" t="str">
        <f>IF(Cleanedtable[[#This Row],[Age]]&lt;18, "YES","NO")</f>
        <v>NO</v>
      </c>
      <c r="O117" t="str">
        <f>IF(Cleanedtable[[#This Row],[SIBLINGS/SPOUSES]]&gt;0,"YES","NO")</f>
        <v>YES</v>
      </c>
      <c r="P117" t="str">
        <f>IF(Cleanedtable[[#This Row],[Parch]]&gt;0,"YES","NO")</f>
        <v>NO</v>
      </c>
    </row>
    <row r="118" spans="1:16" x14ac:dyDescent="0.35">
      <c r="A118">
        <v>1008</v>
      </c>
      <c r="B118">
        <v>0</v>
      </c>
      <c r="C118">
        <v>3</v>
      </c>
      <c r="D118" t="s">
        <v>185</v>
      </c>
      <c r="E118" t="s">
        <v>11</v>
      </c>
      <c r="F118" t="str">
        <f>IF(Cleanedtable[[#This Row],[Age]]&lt;18,"TEEN",IF(Cleanedtable[[#This Row],[Age]]&lt;30,"YOUTH",IF(Cleanedtable[[#This Row],[Age]]&lt;=59,"ADULT",IF(Cleanedtable[[#This Row],[Age]]&gt;=60,"ELDER"))))</f>
        <v>ADULT</v>
      </c>
      <c r="G118">
        <v>30.2</v>
      </c>
      <c r="H118">
        <v>0</v>
      </c>
      <c r="I118">
        <v>0</v>
      </c>
      <c r="J118" t="s">
        <v>717</v>
      </c>
      <c r="K118">
        <v>6.4375</v>
      </c>
      <c r="M118" t="s">
        <v>23</v>
      </c>
      <c r="N118" t="str">
        <f>IF(Cleanedtable[[#This Row],[Age]]&lt;18, "YES","NO")</f>
        <v>NO</v>
      </c>
      <c r="O118" t="str">
        <f>IF(Cleanedtable[[#This Row],[SIBLINGS/SPOUSES]]&gt;0,"YES","NO")</f>
        <v>NO</v>
      </c>
      <c r="P118" t="str">
        <f>IF(Cleanedtable[[#This Row],[Parch]]&gt;0,"YES","NO")</f>
        <v>NO</v>
      </c>
    </row>
    <row r="119" spans="1:16" x14ac:dyDescent="0.35">
      <c r="A119">
        <v>1009</v>
      </c>
      <c r="B119">
        <v>1</v>
      </c>
      <c r="C119">
        <v>3</v>
      </c>
      <c r="D119" t="s">
        <v>186</v>
      </c>
      <c r="E119" t="s">
        <v>14</v>
      </c>
      <c r="F119" t="str">
        <f>IF(Cleanedtable[[#This Row],[Age]]&lt;18,"TEEN",IF(Cleanedtable[[#This Row],[Age]]&lt;30,"YOUTH",IF(Cleanedtable[[#This Row],[Age]]&lt;=59,"ADULT",IF(Cleanedtable[[#This Row],[Age]]&gt;=60,"ELDER"))))</f>
        <v>TEEN</v>
      </c>
      <c r="G119">
        <v>1</v>
      </c>
      <c r="H119">
        <v>1</v>
      </c>
      <c r="I119">
        <v>1</v>
      </c>
      <c r="J119" t="s">
        <v>718</v>
      </c>
      <c r="K119">
        <v>16.7</v>
      </c>
      <c r="L119" t="s">
        <v>188</v>
      </c>
      <c r="M119" t="s">
        <v>15</v>
      </c>
      <c r="N119" t="str">
        <f>IF(Cleanedtable[[#This Row],[Age]]&lt;18, "YES","NO")</f>
        <v>YES</v>
      </c>
      <c r="O119" t="str">
        <f>IF(Cleanedtable[[#This Row],[SIBLINGS/SPOUSES]]&gt;0,"YES","NO")</f>
        <v>YES</v>
      </c>
      <c r="P119" t="str">
        <f>IF(Cleanedtable[[#This Row],[Parch]]&gt;0,"YES","NO")</f>
        <v>YES</v>
      </c>
    </row>
    <row r="120" spans="1:16" x14ac:dyDescent="0.35">
      <c r="A120">
        <v>1010</v>
      </c>
      <c r="B120">
        <v>0</v>
      </c>
      <c r="C120">
        <v>1</v>
      </c>
      <c r="D120" t="s">
        <v>189</v>
      </c>
      <c r="E120" t="s">
        <v>11</v>
      </c>
      <c r="F120" t="str">
        <f>IF(Cleanedtable[[#This Row],[Age]]&lt;18,"TEEN",IF(Cleanedtable[[#This Row],[Age]]&lt;30,"YOUTH",IF(Cleanedtable[[#This Row],[Age]]&lt;=59,"ADULT",IF(Cleanedtable[[#This Row],[Age]]&gt;=60,"ELDER"))))</f>
        <v>ADULT</v>
      </c>
      <c r="G120">
        <v>36</v>
      </c>
      <c r="H120">
        <v>0</v>
      </c>
      <c r="I120">
        <v>0</v>
      </c>
      <c r="J120" t="s">
        <v>719</v>
      </c>
      <c r="K120">
        <v>75.241699999999994</v>
      </c>
      <c r="L120" t="s">
        <v>190</v>
      </c>
      <c r="M120" t="s">
        <v>23</v>
      </c>
      <c r="N120" t="str">
        <f>IF(Cleanedtable[[#This Row],[Age]]&lt;18, "YES","NO")</f>
        <v>NO</v>
      </c>
      <c r="O120" t="str">
        <f>IF(Cleanedtable[[#This Row],[SIBLINGS/SPOUSES]]&gt;0,"YES","NO")</f>
        <v>NO</v>
      </c>
      <c r="P120" t="str">
        <f>IF(Cleanedtable[[#This Row],[Parch]]&gt;0,"YES","NO")</f>
        <v>NO</v>
      </c>
    </row>
    <row r="121" spans="1:16" x14ac:dyDescent="0.35">
      <c r="A121">
        <v>1011</v>
      </c>
      <c r="B121">
        <v>1</v>
      </c>
      <c r="C121">
        <v>2</v>
      </c>
      <c r="D121" t="s">
        <v>191</v>
      </c>
      <c r="E121" t="s">
        <v>14</v>
      </c>
      <c r="F121" t="str">
        <f>IF(Cleanedtable[[#This Row],[Age]]&lt;18,"TEEN",IF(Cleanedtable[[#This Row],[Age]]&lt;30,"YOUTH",IF(Cleanedtable[[#This Row],[Age]]&lt;=59,"ADULT",IF(Cleanedtable[[#This Row],[Age]]&gt;=60,"ELDER"))))</f>
        <v>YOUTH</v>
      </c>
      <c r="G121">
        <v>29</v>
      </c>
      <c r="H121">
        <v>1</v>
      </c>
      <c r="I121">
        <v>0</v>
      </c>
      <c r="J121" t="s">
        <v>720</v>
      </c>
      <c r="K121">
        <v>26</v>
      </c>
      <c r="M121" t="s">
        <v>15</v>
      </c>
      <c r="N121" t="str">
        <f>IF(Cleanedtable[[#This Row],[Age]]&lt;18, "YES","NO")</f>
        <v>NO</v>
      </c>
      <c r="O121" t="str">
        <f>IF(Cleanedtable[[#This Row],[SIBLINGS/SPOUSES]]&gt;0,"YES","NO")</f>
        <v>YES</v>
      </c>
      <c r="P121" t="str">
        <f>IF(Cleanedtable[[#This Row],[Parch]]&gt;0,"YES","NO")</f>
        <v>NO</v>
      </c>
    </row>
    <row r="122" spans="1:16" x14ac:dyDescent="0.35">
      <c r="A122">
        <v>1012</v>
      </c>
      <c r="B122">
        <v>1</v>
      </c>
      <c r="C122">
        <v>2</v>
      </c>
      <c r="D122" t="s">
        <v>193</v>
      </c>
      <c r="E122" t="s">
        <v>14</v>
      </c>
      <c r="F122" t="str">
        <f>IF(Cleanedtable[[#This Row],[Age]]&lt;18,"TEEN",IF(Cleanedtable[[#This Row],[Age]]&lt;30,"YOUTH",IF(Cleanedtable[[#This Row],[Age]]&lt;=59,"ADULT",IF(Cleanedtable[[#This Row],[Age]]&gt;=60,"ELDER"))))</f>
        <v>TEEN</v>
      </c>
      <c r="G122">
        <v>12</v>
      </c>
      <c r="H122">
        <v>0</v>
      </c>
      <c r="I122">
        <v>0</v>
      </c>
      <c r="J122" t="s">
        <v>194</v>
      </c>
      <c r="K122">
        <v>15.75</v>
      </c>
      <c r="M122" t="s">
        <v>15</v>
      </c>
      <c r="N122" t="str">
        <f>IF(Cleanedtable[[#This Row],[Age]]&lt;18, "YES","NO")</f>
        <v>YES</v>
      </c>
      <c r="O122" t="str">
        <f>IF(Cleanedtable[[#This Row],[SIBLINGS/SPOUSES]]&gt;0,"YES","NO")</f>
        <v>NO</v>
      </c>
      <c r="P122" t="str">
        <f>IF(Cleanedtable[[#This Row],[Parch]]&gt;0,"YES","NO")</f>
        <v>NO</v>
      </c>
    </row>
    <row r="123" spans="1:16" x14ac:dyDescent="0.35">
      <c r="A123">
        <v>1013</v>
      </c>
      <c r="B123">
        <v>0</v>
      </c>
      <c r="C123">
        <v>3</v>
      </c>
      <c r="D123" t="s">
        <v>195</v>
      </c>
      <c r="E123" t="s">
        <v>11</v>
      </c>
      <c r="F123" t="str">
        <f>IF(Cleanedtable[[#This Row],[Age]]&lt;18,"TEEN",IF(Cleanedtable[[#This Row],[Age]]&lt;30,"YOUTH",IF(Cleanedtable[[#This Row],[Age]]&lt;=59,"ADULT",IF(Cleanedtable[[#This Row],[Age]]&gt;=60,"ELDER"))))</f>
        <v>ADULT</v>
      </c>
      <c r="G123">
        <v>30.2</v>
      </c>
      <c r="H123">
        <v>1</v>
      </c>
      <c r="I123">
        <v>0</v>
      </c>
      <c r="J123" t="s">
        <v>721</v>
      </c>
      <c r="K123">
        <v>7.75</v>
      </c>
      <c r="M123" t="s">
        <v>12</v>
      </c>
      <c r="N123" t="str">
        <f>IF(Cleanedtable[[#This Row],[Age]]&lt;18, "YES","NO")</f>
        <v>NO</v>
      </c>
      <c r="O123" t="str">
        <f>IF(Cleanedtable[[#This Row],[SIBLINGS/SPOUSES]]&gt;0,"YES","NO")</f>
        <v>YES</v>
      </c>
      <c r="P123" t="str">
        <f>IF(Cleanedtable[[#This Row],[Parch]]&gt;0,"YES","NO")</f>
        <v>NO</v>
      </c>
    </row>
    <row r="124" spans="1:16" x14ac:dyDescent="0.35">
      <c r="A124">
        <v>1014</v>
      </c>
      <c r="B124">
        <v>1</v>
      </c>
      <c r="C124">
        <v>1</v>
      </c>
      <c r="D124" t="s">
        <v>196</v>
      </c>
      <c r="E124" t="s">
        <v>14</v>
      </c>
      <c r="F124" t="str">
        <f>IF(Cleanedtable[[#This Row],[Age]]&lt;18,"TEEN",IF(Cleanedtable[[#This Row],[Age]]&lt;30,"YOUTH",IF(Cleanedtable[[#This Row],[Age]]&lt;=59,"ADULT",IF(Cleanedtable[[#This Row],[Age]]&gt;=60,"ELDER"))))</f>
        <v>ADULT</v>
      </c>
      <c r="G124">
        <v>35</v>
      </c>
      <c r="H124">
        <v>1</v>
      </c>
      <c r="I124">
        <v>0</v>
      </c>
      <c r="J124" t="s">
        <v>646</v>
      </c>
      <c r="K124">
        <v>57.75</v>
      </c>
      <c r="L124" t="s">
        <v>197</v>
      </c>
      <c r="M124" t="s">
        <v>23</v>
      </c>
      <c r="N124" t="str">
        <f>IF(Cleanedtable[[#This Row],[Age]]&lt;18, "YES","NO")</f>
        <v>NO</v>
      </c>
      <c r="O124" t="str">
        <f>IF(Cleanedtable[[#This Row],[SIBLINGS/SPOUSES]]&gt;0,"YES","NO")</f>
        <v>YES</v>
      </c>
      <c r="P124" t="str">
        <f>IF(Cleanedtable[[#This Row],[Parch]]&gt;0,"YES","NO")</f>
        <v>NO</v>
      </c>
    </row>
    <row r="125" spans="1:16" x14ac:dyDescent="0.35">
      <c r="A125">
        <v>1015</v>
      </c>
      <c r="B125">
        <v>0</v>
      </c>
      <c r="C125">
        <v>3</v>
      </c>
      <c r="D125" t="s">
        <v>198</v>
      </c>
      <c r="E125" t="s">
        <v>11</v>
      </c>
      <c r="F125" t="str">
        <f>IF(Cleanedtable[[#This Row],[Age]]&lt;18,"TEEN",IF(Cleanedtable[[#This Row],[Age]]&lt;30,"YOUTH",IF(Cleanedtable[[#This Row],[Age]]&lt;=59,"ADULT",IF(Cleanedtable[[#This Row],[Age]]&gt;=60,"ELDER"))))</f>
        <v>YOUTH</v>
      </c>
      <c r="G125">
        <v>28</v>
      </c>
      <c r="H125">
        <v>0</v>
      </c>
      <c r="I125">
        <v>0</v>
      </c>
      <c r="J125" t="s">
        <v>722</v>
      </c>
      <c r="K125">
        <v>7.25</v>
      </c>
      <c r="M125" t="s">
        <v>15</v>
      </c>
      <c r="N125" t="str">
        <f>IF(Cleanedtable[[#This Row],[Age]]&lt;18, "YES","NO")</f>
        <v>NO</v>
      </c>
      <c r="O125" t="str">
        <f>IF(Cleanedtable[[#This Row],[SIBLINGS/SPOUSES]]&gt;0,"YES","NO")</f>
        <v>NO</v>
      </c>
      <c r="P125" t="str">
        <f>IF(Cleanedtable[[#This Row],[Parch]]&gt;0,"YES","NO")</f>
        <v>NO</v>
      </c>
    </row>
    <row r="126" spans="1:16" x14ac:dyDescent="0.35">
      <c r="A126">
        <v>1016</v>
      </c>
      <c r="B126">
        <v>0</v>
      </c>
      <c r="C126">
        <v>3</v>
      </c>
      <c r="D126" t="s">
        <v>199</v>
      </c>
      <c r="E126" t="s">
        <v>11</v>
      </c>
      <c r="F126" t="str">
        <f>IF(Cleanedtable[[#This Row],[Age]]&lt;18,"TEEN",IF(Cleanedtable[[#This Row],[Age]]&lt;30,"YOUTH",IF(Cleanedtable[[#This Row],[Age]]&lt;=59,"ADULT",IF(Cleanedtable[[#This Row],[Age]]&gt;=60,"ELDER"))))</f>
        <v>ADULT</v>
      </c>
      <c r="G126">
        <v>30.2</v>
      </c>
      <c r="H126">
        <v>0</v>
      </c>
      <c r="I126">
        <v>0</v>
      </c>
      <c r="J126" t="s">
        <v>723</v>
      </c>
      <c r="K126">
        <v>7.75</v>
      </c>
      <c r="M126" t="s">
        <v>12</v>
      </c>
      <c r="N126" t="str">
        <f>IF(Cleanedtable[[#This Row],[Age]]&lt;18, "YES","NO")</f>
        <v>NO</v>
      </c>
      <c r="O126" t="str">
        <f>IF(Cleanedtable[[#This Row],[SIBLINGS/SPOUSES]]&gt;0,"YES","NO")</f>
        <v>NO</v>
      </c>
      <c r="P126" t="str">
        <f>IF(Cleanedtable[[#This Row],[Parch]]&gt;0,"YES","NO")</f>
        <v>NO</v>
      </c>
    </row>
    <row r="127" spans="1:16" x14ac:dyDescent="0.35">
      <c r="A127">
        <v>1017</v>
      </c>
      <c r="B127">
        <v>1</v>
      </c>
      <c r="C127">
        <v>3</v>
      </c>
      <c r="D127" t="s">
        <v>200</v>
      </c>
      <c r="E127" t="s">
        <v>14</v>
      </c>
      <c r="F127" t="str">
        <f>IF(Cleanedtable[[#This Row],[Age]]&lt;18,"TEEN",IF(Cleanedtable[[#This Row],[Age]]&lt;30,"YOUTH",IF(Cleanedtable[[#This Row],[Age]]&lt;=59,"ADULT",IF(Cleanedtable[[#This Row],[Age]]&gt;=60,"ELDER"))))</f>
        <v>TEEN</v>
      </c>
      <c r="G127">
        <v>17</v>
      </c>
      <c r="H127">
        <v>0</v>
      </c>
      <c r="I127">
        <v>1</v>
      </c>
      <c r="J127" t="s">
        <v>724</v>
      </c>
      <c r="K127">
        <v>16.100000000000001</v>
      </c>
      <c r="M127" t="s">
        <v>15</v>
      </c>
      <c r="N127" t="str">
        <f>IF(Cleanedtable[[#This Row],[Age]]&lt;18, "YES","NO")</f>
        <v>YES</v>
      </c>
      <c r="O127" t="str">
        <f>IF(Cleanedtable[[#This Row],[SIBLINGS/SPOUSES]]&gt;0,"YES","NO")</f>
        <v>NO</v>
      </c>
      <c r="P127" t="str">
        <f>IF(Cleanedtable[[#This Row],[Parch]]&gt;0,"YES","NO")</f>
        <v>YES</v>
      </c>
    </row>
    <row r="128" spans="1:16" x14ac:dyDescent="0.35">
      <c r="A128">
        <v>1018</v>
      </c>
      <c r="B128">
        <v>0</v>
      </c>
      <c r="C128">
        <v>3</v>
      </c>
      <c r="D128" t="s">
        <v>201</v>
      </c>
      <c r="E128" t="s">
        <v>11</v>
      </c>
      <c r="F128" t="str">
        <f>IF(Cleanedtable[[#This Row],[Age]]&lt;18,"TEEN",IF(Cleanedtable[[#This Row],[Age]]&lt;30,"YOUTH",IF(Cleanedtable[[#This Row],[Age]]&lt;=59,"ADULT",IF(Cleanedtable[[#This Row],[Age]]&gt;=60,"ELDER"))))</f>
        <v>YOUTH</v>
      </c>
      <c r="G128">
        <v>22</v>
      </c>
      <c r="H128">
        <v>0</v>
      </c>
      <c r="I128">
        <v>0</v>
      </c>
      <c r="J128" t="s">
        <v>725</v>
      </c>
      <c r="K128">
        <v>7.7957999999999998</v>
      </c>
      <c r="M128" t="s">
        <v>15</v>
      </c>
      <c r="N128" t="str">
        <f>IF(Cleanedtable[[#This Row],[Age]]&lt;18, "YES","NO")</f>
        <v>NO</v>
      </c>
      <c r="O128" t="str">
        <f>IF(Cleanedtable[[#This Row],[SIBLINGS/SPOUSES]]&gt;0,"YES","NO")</f>
        <v>NO</v>
      </c>
      <c r="P128" t="str">
        <f>IF(Cleanedtable[[#This Row],[Parch]]&gt;0,"YES","NO")</f>
        <v>NO</v>
      </c>
    </row>
    <row r="129" spans="1:16" x14ac:dyDescent="0.35">
      <c r="A129">
        <v>1019</v>
      </c>
      <c r="B129">
        <v>1</v>
      </c>
      <c r="C129">
        <v>3</v>
      </c>
      <c r="D129" t="s">
        <v>202</v>
      </c>
      <c r="E129" t="s">
        <v>14</v>
      </c>
      <c r="F129" t="str">
        <f>IF(Cleanedtable[[#This Row],[Age]]&lt;18,"TEEN",IF(Cleanedtable[[#This Row],[Age]]&lt;30,"YOUTH",IF(Cleanedtable[[#This Row],[Age]]&lt;=59,"ADULT",IF(Cleanedtable[[#This Row],[Age]]&gt;=60,"ELDER"))))</f>
        <v>ADULT</v>
      </c>
      <c r="G129">
        <v>30.2</v>
      </c>
      <c r="H129">
        <v>2</v>
      </c>
      <c r="I129">
        <v>0</v>
      </c>
      <c r="J129" t="s">
        <v>726</v>
      </c>
      <c r="K129">
        <v>23.25</v>
      </c>
      <c r="M129" t="s">
        <v>12</v>
      </c>
      <c r="N129" t="str">
        <f>IF(Cleanedtable[[#This Row],[Age]]&lt;18, "YES","NO")</f>
        <v>NO</v>
      </c>
      <c r="O129" t="str">
        <f>IF(Cleanedtable[[#This Row],[SIBLINGS/SPOUSES]]&gt;0,"YES","NO")</f>
        <v>YES</v>
      </c>
      <c r="P129" t="str">
        <f>IF(Cleanedtable[[#This Row],[Parch]]&gt;0,"YES","NO")</f>
        <v>NO</v>
      </c>
    </row>
    <row r="130" spans="1:16" x14ac:dyDescent="0.35">
      <c r="A130">
        <v>1020</v>
      </c>
      <c r="B130">
        <v>0</v>
      </c>
      <c r="C130">
        <v>2</v>
      </c>
      <c r="D130" t="s">
        <v>203</v>
      </c>
      <c r="E130" t="s">
        <v>11</v>
      </c>
      <c r="F130" t="str">
        <f>IF(Cleanedtable[[#This Row],[Age]]&lt;18,"TEEN",IF(Cleanedtable[[#This Row],[Age]]&lt;30,"YOUTH",IF(Cleanedtable[[#This Row],[Age]]&lt;=59,"ADULT",IF(Cleanedtable[[#This Row],[Age]]&gt;=60,"ELDER"))))</f>
        <v>ADULT</v>
      </c>
      <c r="G130">
        <v>42</v>
      </c>
      <c r="H130">
        <v>0</v>
      </c>
      <c r="I130">
        <v>0</v>
      </c>
      <c r="J130" t="s">
        <v>727</v>
      </c>
      <c r="K130">
        <v>13</v>
      </c>
      <c r="M130" t="s">
        <v>15</v>
      </c>
      <c r="N130" t="str">
        <f>IF(Cleanedtable[[#This Row],[Age]]&lt;18, "YES","NO")</f>
        <v>NO</v>
      </c>
      <c r="O130" t="str">
        <f>IF(Cleanedtable[[#This Row],[SIBLINGS/SPOUSES]]&gt;0,"YES","NO")</f>
        <v>NO</v>
      </c>
      <c r="P130" t="str">
        <f>IF(Cleanedtable[[#This Row],[Parch]]&gt;0,"YES","NO")</f>
        <v>NO</v>
      </c>
    </row>
    <row r="131" spans="1:16" x14ac:dyDescent="0.35">
      <c r="A131">
        <v>1021</v>
      </c>
      <c r="B131">
        <v>0</v>
      </c>
      <c r="C131">
        <v>3</v>
      </c>
      <c r="D131" t="s">
        <v>204</v>
      </c>
      <c r="E131" t="s">
        <v>11</v>
      </c>
      <c r="F131" t="str">
        <f>IF(Cleanedtable[[#This Row],[Age]]&lt;18,"TEEN",IF(Cleanedtable[[#This Row],[Age]]&lt;30,"YOUTH",IF(Cleanedtable[[#This Row],[Age]]&lt;=59,"ADULT",IF(Cleanedtable[[#This Row],[Age]]&gt;=60,"ELDER"))))</f>
        <v>YOUTH</v>
      </c>
      <c r="G131">
        <v>24</v>
      </c>
      <c r="H131">
        <v>0</v>
      </c>
      <c r="I131">
        <v>0</v>
      </c>
      <c r="J131" t="s">
        <v>728</v>
      </c>
      <c r="K131">
        <v>8.0500000000000007</v>
      </c>
      <c r="M131" t="s">
        <v>15</v>
      </c>
      <c r="N131" t="str">
        <f>IF(Cleanedtable[[#This Row],[Age]]&lt;18, "YES","NO")</f>
        <v>NO</v>
      </c>
      <c r="O131" t="str">
        <f>IF(Cleanedtable[[#This Row],[SIBLINGS/SPOUSES]]&gt;0,"YES","NO")</f>
        <v>NO</v>
      </c>
      <c r="P131" t="str">
        <f>IF(Cleanedtable[[#This Row],[Parch]]&gt;0,"YES","NO")</f>
        <v>NO</v>
      </c>
    </row>
    <row r="132" spans="1:16" x14ac:dyDescent="0.35">
      <c r="A132">
        <v>1022</v>
      </c>
      <c r="B132">
        <v>0</v>
      </c>
      <c r="C132">
        <v>3</v>
      </c>
      <c r="D132" t="s">
        <v>205</v>
      </c>
      <c r="E132" t="s">
        <v>11</v>
      </c>
      <c r="F132" t="str">
        <f>IF(Cleanedtable[[#This Row],[Age]]&lt;18,"TEEN",IF(Cleanedtable[[#This Row],[Age]]&lt;30,"YOUTH",IF(Cleanedtable[[#This Row],[Age]]&lt;=59,"ADULT",IF(Cleanedtable[[#This Row],[Age]]&gt;=60,"ELDER"))))</f>
        <v>ADULT</v>
      </c>
      <c r="G132">
        <v>32</v>
      </c>
      <c r="H132">
        <v>0</v>
      </c>
      <c r="I132">
        <v>0</v>
      </c>
      <c r="J132" t="s">
        <v>729</v>
      </c>
      <c r="K132">
        <v>8.0500000000000007</v>
      </c>
      <c r="M132" t="s">
        <v>15</v>
      </c>
      <c r="N132" t="str">
        <f>IF(Cleanedtable[[#This Row],[Age]]&lt;18, "YES","NO")</f>
        <v>NO</v>
      </c>
      <c r="O132" t="str">
        <f>IF(Cleanedtable[[#This Row],[SIBLINGS/SPOUSES]]&gt;0,"YES","NO")</f>
        <v>NO</v>
      </c>
      <c r="P132" t="str">
        <f>IF(Cleanedtable[[#This Row],[Parch]]&gt;0,"YES","NO")</f>
        <v>NO</v>
      </c>
    </row>
    <row r="133" spans="1:16" x14ac:dyDescent="0.35">
      <c r="A133">
        <v>1023</v>
      </c>
      <c r="B133">
        <v>0</v>
      </c>
      <c r="C133">
        <v>1</v>
      </c>
      <c r="D133" t="s">
        <v>207</v>
      </c>
      <c r="E133" t="s">
        <v>11</v>
      </c>
      <c r="F133" t="str">
        <f>IF(Cleanedtable[[#This Row],[Age]]&lt;18,"TEEN",IF(Cleanedtable[[#This Row],[Age]]&lt;30,"YOUTH",IF(Cleanedtable[[#This Row],[Age]]&lt;=59,"ADULT",IF(Cleanedtable[[#This Row],[Age]]&gt;=60,"ELDER"))))</f>
        <v>ADULT</v>
      </c>
      <c r="G133">
        <v>53</v>
      </c>
      <c r="H133">
        <v>0</v>
      </c>
      <c r="I133">
        <v>0</v>
      </c>
      <c r="J133" t="s">
        <v>730</v>
      </c>
      <c r="K133">
        <v>28.5</v>
      </c>
      <c r="L133" t="s">
        <v>208</v>
      </c>
      <c r="M133" t="s">
        <v>23</v>
      </c>
      <c r="N133" t="str">
        <f>IF(Cleanedtable[[#This Row],[Age]]&lt;18, "YES","NO")</f>
        <v>NO</v>
      </c>
      <c r="O133" t="str">
        <f>IF(Cleanedtable[[#This Row],[SIBLINGS/SPOUSES]]&gt;0,"YES","NO")</f>
        <v>NO</v>
      </c>
      <c r="P133" t="str">
        <f>IF(Cleanedtable[[#This Row],[Parch]]&gt;0,"YES","NO")</f>
        <v>NO</v>
      </c>
    </row>
    <row r="134" spans="1:16" x14ac:dyDescent="0.35">
      <c r="A134">
        <v>1024</v>
      </c>
      <c r="B134">
        <v>1</v>
      </c>
      <c r="C134">
        <v>3</v>
      </c>
      <c r="D134" t="s">
        <v>209</v>
      </c>
      <c r="E134" t="s">
        <v>14</v>
      </c>
      <c r="F134" t="str">
        <f>IF(Cleanedtable[[#This Row],[Age]]&lt;18,"TEEN",IF(Cleanedtable[[#This Row],[Age]]&lt;30,"YOUTH",IF(Cleanedtable[[#This Row],[Age]]&lt;=59,"ADULT",IF(Cleanedtable[[#This Row],[Age]]&gt;=60,"ELDER"))))</f>
        <v>ADULT</v>
      </c>
      <c r="G134">
        <v>30.2</v>
      </c>
      <c r="H134">
        <v>0</v>
      </c>
      <c r="I134">
        <v>4</v>
      </c>
      <c r="J134" t="s">
        <v>731</v>
      </c>
      <c r="K134">
        <v>25.466699999999999</v>
      </c>
      <c r="M134" t="s">
        <v>15</v>
      </c>
      <c r="N134" t="str">
        <f>IF(Cleanedtable[[#This Row],[Age]]&lt;18, "YES","NO")</f>
        <v>NO</v>
      </c>
      <c r="O134" t="str">
        <f>IF(Cleanedtable[[#This Row],[SIBLINGS/SPOUSES]]&gt;0,"YES","NO")</f>
        <v>NO</v>
      </c>
      <c r="P134" t="str">
        <f>IF(Cleanedtable[[#This Row],[Parch]]&gt;0,"YES","NO")</f>
        <v>YES</v>
      </c>
    </row>
    <row r="135" spans="1:16" x14ac:dyDescent="0.35">
      <c r="A135">
        <v>1025</v>
      </c>
      <c r="B135">
        <v>0</v>
      </c>
      <c r="C135">
        <v>3</v>
      </c>
      <c r="D135" t="s">
        <v>210</v>
      </c>
      <c r="E135" t="s">
        <v>11</v>
      </c>
      <c r="F135" t="str">
        <f>IF(Cleanedtable[[#This Row],[Age]]&lt;18,"TEEN",IF(Cleanedtable[[#This Row],[Age]]&lt;30,"YOUTH",IF(Cleanedtable[[#This Row],[Age]]&lt;=59,"ADULT",IF(Cleanedtable[[#This Row],[Age]]&gt;=60,"ELDER"))))</f>
        <v>ADULT</v>
      </c>
      <c r="G135">
        <v>30.2</v>
      </c>
      <c r="H135">
        <v>1</v>
      </c>
      <c r="I135">
        <v>0</v>
      </c>
      <c r="J135" t="s">
        <v>732</v>
      </c>
      <c r="K135">
        <v>6.4375</v>
      </c>
      <c r="M135" t="s">
        <v>23</v>
      </c>
      <c r="N135" t="str">
        <f>IF(Cleanedtable[[#This Row],[Age]]&lt;18, "YES","NO")</f>
        <v>NO</v>
      </c>
      <c r="O135" t="str">
        <f>IF(Cleanedtable[[#This Row],[SIBLINGS/SPOUSES]]&gt;0,"YES","NO")</f>
        <v>YES</v>
      </c>
      <c r="P135" t="str">
        <f>IF(Cleanedtable[[#This Row],[Parch]]&gt;0,"YES","NO")</f>
        <v>NO</v>
      </c>
    </row>
    <row r="136" spans="1:16" x14ac:dyDescent="0.35">
      <c r="A136">
        <v>1026</v>
      </c>
      <c r="B136">
        <v>0</v>
      </c>
      <c r="C136">
        <v>3</v>
      </c>
      <c r="D136" t="s">
        <v>211</v>
      </c>
      <c r="E136" t="s">
        <v>11</v>
      </c>
      <c r="F136" t="str">
        <f>IF(Cleanedtable[[#This Row],[Age]]&lt;18,"TEEN",IF(Cleanedtable[[#This Row],[Age]]&lt;30,"YOUTH",IF(Cleanedtable[[#This Row],[Age]]&lt;=59,"ADULT",IF(Cleanedtable[[#This Row],[Age]]&gt;=60,"ELDER"))))</f>
        <v>ADULT</v>
      </c>
      <c r="G136">
        <v>43</v>
      </c>
      <c r="H136">
        <v>0</v>
      </c>
      <c r="I136">
        <v>0</v>
      </c>
      <c r="J136" t="s">
        <v>733</v>
      </c>
      <c r="K136">
        <v>7.8958000000000004</v>
      </c>
      <c r="M136" t="s">
        <v>15</v>
      </c>
      <c r="N136" t="str">
        <f>IF(Cleanedtable[[#This Row],[Age]]&lt;18, "YES","NO")</f>
        <v>NO</v>
      </c>
      <c r="O136" t="str">
        <f>IF(Cleanedtable[[#This Row],[SIBLINGS/SPOUSES]]&gt;0,"YES","NO")</f>
        <v>NO</v>
      </c>
      <c r="P136" t="str">
        <f>IF(Cleanedtable[[#This Row],[Parch]]&gt;0,"YES","NO")</f>
        <v>NO</v>
      </c>
    </row>
    <row r="137" spans="1:16" x14ac:dyDescent="0.35">
      <c r="A137">
        <v>1027</v>
      </c>
      <c r="B137">
        <v>0</v>
      </c>
      <c r="C137">
        <v>3</v>
      </c>
      <c r="D137" t="s">
        <v>212</v>
      </c>
      <c r="E137" t="s">
        <v>11</v>
      </c>
      <c r="F137" t="str">
        <f>IF(Cleanedtable[[#This Row],[Age]]&lt;18,"TEEN",IF(Cleanedtable[[#This Row],[Age]]&lt;30,"YOUTH",IF(Cleanedtable[[#This Row],[Age]]&lt;=59,"ADULT",IF(Cleanedtable[[#This Row],[Age]]&gt;=60,"ELDER"))))</f>
        <v>YOUTH</v>
      </c>
      <c r="G137">
        <v>24</v>
      </c>
      <c r="H137">
        <v>0</v>
      </c>
      <c r="I137">
        <v>0</v>
      </c>
      <c r="J137" t="s">
        <v>734</v>
      </c>
      <c r="K137">
        <v>7.8541999999999996</v>
      </c>
      <c r="M137" t="s">
        <v>15</v>
      </c>
      <c r="N137" t="str">
        <f>IF(Cleanedtable[[#This Row],[Age]]&lt;18, "YES","NO")</f>
        <v>NO</v>
      </c>
      <c r="O137" t="str">
        <f>IF(Cleanedtable[[#This Row],[SIBLINGS/SPOUSES]]&gt;0,"YES","NO")</f>
        <v>NO</v>
      </c>
      <c r="P137" t="str">
        <f>IF(Cleanedtable[[#This Row],[Parch]]&gt;0,"YES","NO")</f>
        <v>NO</v>
      </c>
    </row>
    <row r="138" spans="1:16" x14ac:dyDescent="0.35">
      <c r="A138">
        <v>1028</v>
      </c>
      <c r="B138">
        <v>0</v>
      </c>
      <c r="C138">
        <v>3</v>
      </c>
      <c r="D138" t="s">
        <v>213</v>
      </c>
      <c r="E138" t="s">
        <v>11</v>
      </c>
      <c r="F138" t="str">
        <f>IF(Cleanedtable[[#This Row],[Age]]&lt;18,"TEEN",IF(Cleanedtable[[#This Row],[Age]]&lt;30,"YOUTH",IF(Cleanedtable[[#This Row],[Age]]&lt;=59,"ADULT",IF(Cleanedtable[[#This Row],[Age]]&gt;=60,"ELDER"))))</f>
        <v>YOUTH</v>
      </c>
      <c r="G138">
        <v>26.5</v>
      </c>
      <c r="H138">
        <v>0</v>
      </c>
      <c r="I138">
        <v>0</v>
      </c>
      <c r="J138" t="s">
        <v>735</v>
      </c>
      <c r="K138">
        <v>7.2249999999999996</v>
      </c>
      <c r="M138" t="s">
        <v>23</v>
      </c>
      <c r="N138" t="str">
        <f>IF(Cleanedtable[[#This Row],[Age]]&lt;18, "YES","NO")</f>
        <v>NO</v>
      </c>
      <c r="O138" t="str">
        <f>IF(Cleanedtable[[#This Row],[SIBLINGS/SPOUSES]]&gt;0,"YES","NO")</f>
        <v>NO</v>
      </c>
      <c r="P138" t="str">
        <f>IF(Cleanedtable[[#This Row],[Parch]]&gt;0,"YES","NO")</f>
        <v>NO</v>
      </c>
    </row>
    <row r="139" spans="1:16" x14ac:dyDescent="0.35">
      <c r="A139">
        <v>1029</v>
      </c>
      <c r="B139">
        <v>0</v>
      </c>
      <c r="C139">
        <v>2</v>
      </c>
      <c r="D139" t="s">
        <v>214</v>
      </c>
      <c r="E139" t="s">
        <v>11</v>
      </c>
      <c r="F139" t="str">
        <f>IF(Cleanedtable[[#This Row],[Age]]&lt;18,"TEEN",IF(Cleanedtable[[#This Row],[Age]]&lt;30,"YOUTH",IF(Cleanedtable[[#This Row],[Age]]&lt;=59,"ADULT",IF(Cleanedtable[[#This Row],[Age]]&gt;=60,"ELDER"))))</f>
        <v>YOUTH</v>
      </c>
      <c r="G139">
        <v>26</v>
      </c>
      <c r="H139">
        <v>0</v>
      </c>
      <c r="I139">
        <v>0</v>
      </c>
      <c r="J139" t="s">
        <v>736</v>
      </c>
      <c r="K139">
        <v>13</v>
      </c>
      <c r="M139" t="s">
        <v>15</v>
      </c>
      <c r="N139" t="str">
        <f>IF(Cleanedtable[[#This Row],[Age]]&lt;18, "YES","NO")</f>
        <v>NO</v>
      </c>
      <c r="O139" t="str">
        <f>IF(Cleanedtable[[#This Row],[SIBLINGS/SPOUSES]]&gt;0,"YES","NO")</f>
        <v>NO</v>
      </c>
      <c r="P139" t="str">
        <f>IF(Cleanedtable[[#This Row],[Parch]]&gt;0,"YES","NO")</f>
        <v>NO</v>
      </c>
    </row>
    <row r="140" spans="1:16" x14ac:dyDescent="0.35">
      <c r="A140">
        <v>1030</v>
      </c>
      <c r="B140">
        <v>1</v>
      </c>
      <c r="C140">
        <v>3</v>
      </c>
      <c r="D140" t="s">
        <v>215</v>
      </c>
      <c r="E140" t="s">
        <v>14</v>
      </c>
      <c r="F140" t="str">
        <f>IF(Cleanedtable[[#This Row],[Age]]&lt;18,"TEEN",IF(Cleanedtable[[#This Row],[Age]]&lt;30,"YOUTH",IF(Cleanedtable[[#This Row],[Age]]&lt;=59,"ADULT",IF(Cleanedtable[[#This Row],[Age]]&gt;=60,"ELDER"))))</f>
        <v>YOUTH</v>
      </c>
      <c r="G140">
        <v>23</v>
      </c>
      <c r="H140">
        <v>0</v>
      </c>
      <c r="I140">
        <v>0</v>
      </c>
      <c r="J140" t="s">
        <v>737</v>
      </c>
      <c r="K140">
        <v>8.0500000000000007</v>
      </c>
      <c r="M140" t="s">
        <v>15</v>
      </c>
      <c r="N140" t="str">
        <f>IF(Cleanedtable[[#This Row],[Age]]&lt;18, "YES","NO")</f>
        <v>NO</v>
      </c>
      <c r="O140" t="str">
        <f>IF(Cleanedtable[[#This Row],[SIBLINGS/SPOUSES]]&gt;0,"YES","NO")</f>
        <v>NO</v>
      </c>
      <c r="P140" t="str">
        <f>IF(Cleanedtable[[#This Row],[Parch]]&gt;0,"YES","NO")</f>
        <v>NO</v>
      </c>
    </row>
    <row r="141" spans="1:16" x14ac:dyDescent="0.35">
      <c r="A141">
        <v>1031</v>
      </c>
      <c r="B141">
        <v>0</v>
      </c>
      <c r="C141">
        <v>3</v>
      </c>
      <c r="D141" t="s">
        <v>217</v>
      </c>
      <c r="E141" t="s">
        <v>11</v>
      </c>
      <c r="F141" t="str">
        <f>IF(Cleanedtable[[#This Row],[Age]]&lt;18,"TEEN",IF(Cleanedtable[[#This Row],[Age]]&lt;30,"YOUTH",IF(Cleanedtable[[#This Row],[Age]]&lt;=59,"ADULT",IF(Cleanedtable[[#This Row],[Age]]&gt;=60,"ELDER"))))</f>
        <v>ADULT</v>
      </c>
      <c r="G141">
        <v>40</v>
      </c>
      <c r="H141">
        <v>1</v>
      </c>
      <c r="I141">
        <v>6</v>
      </c>
      <c r="J141" t="s">
        <v>738</v>
      </c>
      <c r="K141">
        <v>46.9</v>
      </c>
      <c r="M141" t="s">
        <v>15</v>
      </c>
      <c r="N141" t="str">
        <f>IF(Cleanedtable[[#This Row],[Age]]&lt;18, "YES","NO")</f>
        <v>NO</v>
      </c>
      <c r="O141" t="str">
        <f>IF(Cleanedtable[[#This Row],[SIBLINGS/SPOUSES]]&gt;0,"YES","NO")</f>
        <v>YES</v>
      </c>
      <c r="P141" t="str">
        <f>IF(Cleanedtable[[#This Row],[Parch]]&gt;0,"YES","NO")</f>
        <v>YES</v>
      </c>
    </row>
    <row r="142" spans="1:16" x14ac:dyDescent="0.35">
      <c r="A142">
        <v>1032</v>
      </c>
      <c r="B142">
        <v>1</v>
      </c>
      <c r="C142">
        <v>3</v>
      </c>
      <c r="D142" t="s">
        <v>219</v>
      </c>
      <c r="E142" t="s">
        <v>14</v>
      </c>
      <c r="F142" t="str">
        <f>IF(Cleanedtable[[#This Row],[Age]]&lt;18,"TEEN",IF(Cleanedtable[[#This Row],[Age]]&lt;30,"YOUTH",IF(Cleanedtable[[#This Row],[Age]]&lt;=59,"ADULT",IF(Cleanedtable[[#This Row],[Age]]&gt;=60,"ELDER"))))</f>
        <v>TEEN</v>
      </c>
      <c r="G142">
        <v>10</v>
      </c>
      <c r="H142">
        <v>5</v>
      </c>
      <c r="I142">
        <v>2</v>
      </c>
      <c r="J142" t="s">
        <v>738</v>
      </c>
      <c r="K142">
        <v>46.9</v>
      </c>
      <c r="M142" t="s">
        <v>15</v>
      </c>
      <c r="N142" t="str">
        <f>IF(Cleanedtable[[#This Row],[Age]]&lt;18, "YES","NO")</f>
        <v>YES</v>
      </c>
      <c r="O142" t="str">
        <f>IF(Cleanedtable[[#This Row],[SIBLINGS/SPOUSES]]&gt;0,"YES","NO")</f>
        <v>YES</v>
      </c>
      <c r="P142" t="str">
        <f>IF(Cleanedtable[[#This Row],[Parch]]&gt;0,"YES","NO")</f>
        <v>YES</v>
      </c>
    </row>
    <row r="143" spans="1:16" x14ac:dyDescent="0.35">
      <c r="A143">
        <v>1033</v>
      </c>
      <c r="B143">
        <v>1</v>
      </c>
      <c r="C143">
        <v>1</v>
      </c>
      <c r="D143" t="s">
        <v>220</v>
      </c>
      <c r="E143" t="s">
        <v>14</v>
      </c>
      <c r="F143" t="str">
        <f>IF(Cleanedtable[[#This Row],[Age]]&lt;18,"TEEN",IF(Cleanedtable[[#This Row],[Age]]&lt;30,"YOUTH",IF(Cleanedtable[[#This Row],[Age]]&lt;=59,"ADULT",IF(Cleanedtable[[#This Row],[Age]]&gt;=60,"ELDER"))))</f>
        <v>ADULT</v>
      </c>
      <c r="G143">
        <v>33</v>
      </c>
      <c r="H143">
        <v>0</v>
      </c>
      <c r="I143">
        <v>0</v>
      </c>
      <c r="J143" t="s">
        <v>739</v>
      </c>
      <c r="K143">
        <v>151.55000000000001</v>
      </c>
      <c r="M143" t="s">
        <v>15</v>
      </c>
      <c r="N143" t="str">
        <f>IF(Cleanedtable[[#This Row],[Age]]&lt;18, "YES","NO")</f>
        <v>NO</v>
      </c>
      <c r="O143" t="str">
        <f>IF(Cleanedtable[[#This Row],[SIBLINGS/SPOUSES]]&gt;0,"YES","NO")</f>
        <v>NO</v>
      </c>
      <c r="P143" t="str">
        <f>IF(Cleanedtable[[#This Row],[Parch]]&gt;0,"YES","NO")</f>
        <v>NO</v>
      </c>
    </row>
    <row r="144" spans="1:16" x14ac:dyDescent="0.35">
      <c r="A144">
        <v>1034</v>
      </c>
      <c r="B144">
        <v>0</v>
      </c>
      <c r="C144">
        <v>1</v>
      </c>
      <c r="D144" t="s">
        <v>221</v>
      </c>
      <c r="E144" t="s">
        <v>11</v>
      </c>
      <c r="F144" t="str">
        <f>IF(Cleanedtable[[#This Row],[Age]]&lt;18,"TEEN",IF(Cleanedtable[[#This Row],[Age]]&lt;30,"YOUTH",IF(Cleanedtable[[#This Row],[Age]]&lt;=59,"ADULT",IF(Cleanedtable[[#This Row],[Age]]&gt;=60,"ELDER"))))</f>
        <v>ELDER</v>
      </c>
      <c r="G144">
        <v>61</v>
      </c>
      <c r="H144">
        <v>1</v>
      </c>
      <c r="I144">
        <v>3</v>
      </c>
      <c r="J144" t="s">
        <v>640</v>
      </c>
      <c r="K144">
        <v>262.375</v>
      </c>
      <c r="L144" t="s">
        <v>51</v>
      </c>
      <c r="M144" t="s">
        <v>23</v>
      </c>
      <c r="N144" t="str">
        <f>IF(Cleanedtable[[#This Row],[Age]]&lt;18, "YES","NO")</f>
        <v>NO</v>
      </c>
      <c r="O144" t="str">
        <f>IF(Cleanedtable[[#This Row],[SIBLINGS/SPOUSES]]&gt;0,"YES","NO")</f>
        <v>YES</v>
      </c>
      <c r="P144" t="str">
        <f>IF(Cleanedtable[[#This Row],[Parch]]&gt;0,"YES","NO")</f>
        <v>YES</v>
      </c>
    </row>
    <row r="145" spans="1:16" x14ac:dyDescent="0.35">
      <c r="A145">
        <v>1035</v>
      </c>
      <c r="B145">
        <v>0</v>
      </c>
      <c r="C145">
        <v>2</v>
      </c>
      <c r="D145" t="s">
        <v>222</v>
      </c>
      <c r="E145" t="s">
        <v>11</v>
      </c>
      <c r="F145" t="str">
        <f>IF(Cleanedtable[[#This Row],[Age]]&lt;18,"TEEN",IF(Cleanedtable[[#This Row],[Age]]&lt;30,"YOUTH",IF(Cleanedtable[[#This Row],[Age]]&lt;=59,"ADULT",IF(Cleanedtable[[#This Row],[Age]]&gt;=60,"ELDER"))))</f>
        <v>YOUTH</v>
      </c>
      <c r="G145">
        <v>28</v>
      </c>
      <c r="H145">
        <v>0</v>
      </c>
      <c r="I145">
        <v>0</v>
      </c>
      <c r="J145" t="s">
        <v>740</v>
      </c>
      <c r="K145">
        <v>26</v>
      </c>
      <c r="M145" t="s">
        <v>15</v>
      </c>
      <c r="N145" t="str">
        <f>IF(Cleanedtable[[#This Row],[Age]]&lt;18, "YES","NO")</f>
        <v>NO</v>
      </c>
      <c r="O145" t="str">
        <f>IF(Cleanedtable[[#This Row],[SIBLINGS/SPOUSES]]&gt;0,"YES","NO")</f>
        <v>NO</v>
      </c>
      <c r="P145" t="str">
        <f>IF(Cleanedtable[[#This Row],[Parch]]&gt;0,"YES","NO")</f>
        <v>NO</v>
      </c>
    </row>
    <row r="146" spans="1:16" x14ac:dyDescent="0.35">
      <c r="A146">
        <v>1036</v>
      </c>
      <c r="B146">
        <v>0</v>
      </c>
      <c r="C146">
        <v>1</v>
      </c>
      <c r="D146" t="s">
        <v>223</v>
      </c>
      <c r="E146" t="s">
        <v>11</v>
      </c>
      <c r="F146" t="str">
        <f>IF(Cleanedtable[[#This Row],[Age]]&lt;18,"TEEN",IF(Cleanedtable[[#This Row],[Age]]&lt;30,"YOUTH",IF(Cleanedtable[[#This Row],[Age]]&lt;=59,"ADULT",IF(Cleanedtable[[#This Row],[Age]]&gt;=60,"ELDER"))))</f>
        <v>ADULT</v>
      </c>
      <c r="G146">
        <v>42</v>
      </c>
      <c r="H146">
        <v>0</v>
      </c>
      <c r="I146">
        <v>0</v>
      </c>
      <c r="J146" t="s">
        <v>741</v>
      </c>
      <c r="K146">
        <v>26.55</v>
      </c>
      <c r="M146" t="s">
        <v>15</v>
      </c>
      <c r="N146" t="str">
        <f>IF(Cleanedtable[[#This Row],[Age]]&lt;18, "YES","NO")</f>
        <v>NO</v>
      </c>
      <c r="O146" t="str">
        <f>IF(Cleanedtable[[#This Row],[SIBLINGS/SPOUSES]]&gt;0,"YES","NO")</f>
        <v>NO</v>
      </c>
      <c r="P146" t="str">
        <f>IF(Cleanedtable[[#This Row],[Parch]]&gt;0,"YES","NO")</f>
        <v>NO</v>
      </c>
    </row>
    <row r="147" spans="1:16" x14ac:dyDescent="0.35">
      <c r="A147">
        <v>1037</v>
      </c>
      <c r="B147">
        <v>0</v>
      </c>
      <c r="C147">
        <v>3</v>
      </c>
      <c r="D147" t="s">
        <v>224</v>
      </c>
      <c r="E147" t="s">
        <v>11</v>
      </c>
      <c r="F147" t="str">
        <f>IF(Cleanedtable[[#This Row],[Age]]&lt;18,"TEEN",IF(Cleanedtable[[#This Row],[Age]]&lt;30,"YOUTH",IF(Cleanedtable[[#This Row],[Age]]&lt;=59,"ADULT",IF(Cleanedtable[[#This Row],[Age]]&gt;=60,"ELDER"))))</f>
        <v>ADULT</v>
      </c>
      <c r="G147">
        <v>31</v>
      </c>
      <c r="H147">
        <v>3</v>
      </c>
      <c r="I147">
        <v>0</v>
      </c>
      <c r="J147" t="s">
        <v>742</v>
      </c>
      <c r="K147">
        <v>18</v>
      </c>
      <c r="M147" t="s">
        <v>15</v>
      </c>
      <c r="N147" t="str">
        <f>IF(Cleanedtable[[#This Row],[Age]]&lt;18, "YES","NO")</f>
        <v>NO</v>
      </c>
      <c r="O147" t="str">
        <f>IF(Cleanedtable[[#This Row],[SIBLINGS/SPOUSES]]&gt;0,"YES","NO")</f>
        <v>YES</v>
      </c>
      <c r="P147" t="str">
        <f>IF(Cleanedtable[[#This Row],[Parch]]&gt;0,"YES","NO")</f>
        <v>NO</v>
      </c>
    </row>
    <row r="148" spans="1:16" x14ac:dyDescent="0.35">
      <c r="A148">
        <v>1038</v>
      </c>
      <c r="B148">
        <v>0</v>
      </c>
      <c r="C148">
        <v>1</v>
      </c>
      <c r="D148" t="s">
        <v>225</v>
      </c>
      <c r="E148" t="s">
        <v>11</v>
      </c>
      <c r="F148" t="str">
        <f>IF(Cleanedtable[[#This Row],[Age]]&lt;18,"TEEN",IF(Cleanedtable[[#This Row],[Age]]&lt;30,"YOUTH",IF(Cleanedtable[[#This Row],[Age]]&lt;=59,"ADULT",IF(Cleanedtable[[#This Row],[Age]]&gt;=60,"ELDER"))))</f>
        <v>ADULT</v>
      </c>
      <c r="G148">
        <v>30.2</v>
      </c>
      <c r="H148">
        <v>0</v>
      </c>
      <c r="I148">
        <v>0</v>
      </c>
      <c r="J148" t="s">
        <v>743</v>
      </c>
      <c r="K148">
        <v>51.862499999999997</v>
      </c>
      <c r="L148" t="s">
        <v>226</v>
      </c>
      <c r="M148" t="s">
        <v>15</v>
      </c>
      <c r="N148" t="str">
        <f>IF(Cleanedtable[[#This Row],[Age]]&lt;18, "YES","NO")</f>
        <v>NO</v>
      </c>
      <c r="O148" t="str">
        <f>IF(Cleanedtable[[#This Row],[SIBLINGS/SPOUSES]]&gt;0,"YES","NO")</f>
        <v>NO</v>
      </c>
      <c r="P148" t="str">
        <f>IF(Cleanedtable[[#This Row],[Parch]]&gt;0,"YES","NO")</f>
        <v>NO</v>
      </c>
    </row>
    <row r="149" spans="1:16" x14ac:dyDescent="0.35">
      <c r="A149">
        <v>1039</v>
      </c>
      <c r="B149">
        <v>0</v>
      </c>
      <c r="C149">
        <v>3</v>
      </c>
      <c r="D149" t="s">
        <v>227</v>
      </c>
      <c r="E149" t="s">
        <v>11</v>
      </c>
      <c r="F149" t="str">
        <f>IF(Cleanedtable[[#This Row],[Age]]&lt;18,"TEEN",IF(Cleanedtable[[#This Row],[Age]]&lt;30,"YOUTH",IF(Cleanedtable[[#This Row],[Age]]&lt;=59,"ADULT",IF(Cleanedtable[[#This Row],[Age]]&gt;=60,"ELDER"))))</f>
        <v>YOUTH</v>
      </c>
      <c r="G149">
        <v>22</v>
      </c>
      <c r="H149">
        <v>0</v>
      </c>
      <c r="I149">
        <v>0</v>
      </c>
      <c r="J149" t="s">
        <v>744</v>
      </c>
      <c r="K149">
        <v>8.0500000000000007</v>
      </c>
      <c r="M149" t="s">
        <v>15</v>
      </c>
      <c r="N149" t="str">
        <f>IF(Cleanedtable[[#This Row],[Age]]&lt;18, "YES","NO")</f>
        <v>NO</v>
      </c>
      <c r="O149" t="str">
        <f>IF(Cleanedtable[[#This Row],[SIBLINGS/SPOUSES]]&gt;0,"YES","NO")</f>
        <v>NO</v>
      </c>
      <c r="P149" t="str">
        <f>IF(Cleanedtable[[#This Row],[Parch]]&gt;0,"YES","NO")</f>
        <v>NO</v>
      </c>
    </row>
    <row r="150" spans="1:16" x14ac:dyDescent="0.35">
      <c r="A150">
        <v>1040</v>
      </c>
      <c r="B150">
        <v>0</v>
      </c>
      <c r="C150">
        <v>1</v>
      </c>
      <c r="D150" t="s">
        <v>229</v>
      </c>
      <c r="E150" t="s">
        <v>11</v>
      </c>
      <c r="F150" t="str">
        <f>IF(Cleanedtable[[#This Row],[Age]]&lt;18,"TEEN",IF(Cleanedtable[[#This Row],[Age]]&lt;30,"YOUTH",IF(Cleanedtable[[#This Row],[Age]]&lt;=59,"ADULT",IF(Cleanedtable[[#This Row],[Age]]&gt;=60,"ELDER"))))</f>
        <v>ADULT</v>
      </c>
      <c r="G150">
        <v>30.2</v>
      </c>
      <c r="H150">
        <v>0</v>
      </c>
      <c r="I150">
        <v>0</v>
      </c>
      <c r="J150" t="s">
        <v>745</v>
      </c>
      <c r="K150">
        <v>26.55</v>
      </c>
      <c r="M150" t="s">
        <v>15</v>
      </c>
      <c r="N150" t="str">
        <f>IF(Cleanedtable[[#This Row],[Age]]&lt;18, "YES","NO")</f>
        <v>NO</v>
      </c>
      <c r="O150" t="str">
        <f>IF(Cleanedtable[[#This Row],[SIBLINGS/SPOUSES]]&gt;0,"YES","NO")</f>
        <v>NO</v>
      </c>
      <c r="P150" t="str">
        <f>IF(Cleanedtable[[#This Row],[Parch]]&gt;0,"YES","NO")</f>
        <v>NO</v>
      </c>
    </row>
    <row r="151" spans="1:16" x14ac:dyDescent="0.35">
      <c r="A151">
        <v>1041</v>
      </c>
      <c r="B151">
        <v>0</v>
      </c>
      <c r="C151">
        <v>2</v>
      </c>
      <c r="D151" t="s">
        <v>230</v>
      </c>
      <c r="E151" t="s">
        <v>11</v>
      </c>
      <c r="F151" t="str">
        <f>IF(Cleanedtable[[#This Row],[Age]]&lt;18,"TEEN",IF(Cleanedtable[[#This Row],[Age]]&lt;30,"YOUTH",IF(Cleanedtable[[#This Row],[Age]]&lt;=59,"ADULT",IF(Cleanedtable[[#This Row],[Age]]&gt;=60,"ELDER"))))</f>
        <v>ADULT</v>
      </c>
      <c r="G151">
        <v>30</v>
      </c>
      <c r="H151">
        <v>1</v>
      </c>
      <c r="I151">
        <v>1</v>
      </c>
      <c r="J151" t="s">
        <v>746</v>
      </c>
      <c r="K151">
        <v>26</v>
      </c>
      <c r="M151" t="s">
        <v>15</v>
      </c>
      <c r="N151" t="str">
        <f>IF(Cleanedtable[[#This Row],[Age]]&lt;18, "YES","NO")</f>
        <v>NO</v>
      </c>
      <c r="O151" t="str">
        <f>IF(Cleanedtable[[#This Row],[SIBLINGS/SPOUSES]]&gt;0,"YES","NO")</f>
        <v>YES</v>
      </c>
      <c r="P151" t="str">
        <f>IF(Cleanedtable[[#This Row],[Parch]]&gt;0,"YES","NO")</f>
        <v>YES</v>
      </c>
    </row>
    <row r="152" spans="1:16" x14ac:dyDescent="0.35">
      <c r="A152">
        <v>1042</v>
      </c>
      <c r="B152">
        <v>1</v>
      </c>
      <c r="C152">
        <v>1</v>
      </c>
      <c r="D152" t="s">
        <v>231</v>
      </c>
      <c r="E152" t="s">
        <v>14</v>
      </c>
      <c r="F152" t="str">
        <f>IF(Cleanedtable[[#This Row],[Age]]&lt;18,"TEEN",IF(Cleanedtable[[#This Row],[Age]]&lt;30,"YOUTH",IF(Cleanedtable[[#This Row],[Age]]&lt;=59,"ADULT",IF(Cleanedtable[[#This Row],[Age]]&gt;=60,"ELDER"))))</f>
        <v>YOUTH</v>
      </c>
      <c r="G152">
        <v>23</v>
      </c>
      <c r="H152">
        <v>0</v>
      </c>
      <c r="I152">
        <v>1</v>
      </c>
      <c r="J152" t="s">
        <v>747</v>
      </c>
      <c r="K152">
        <v>83.158299999999997</v>
      </c>
      <c r="L152" t="s">
        <v>232</v>
      </c>
      <c r="M152" t="s">
        <v>23</v>
      </c>
      <c r="N152" t="str">
        <f>IF(Cleanedtable[[#This Row],[Age]]&lt;18, "YES","NO")</f>
        <v>NO</v>
      </c>
      <c r="O152" t="str">
        <f>IF(Cleanedtable[[#This Row],[SIBLINGS/SPOUSES]]&gt;0,"YES","NO")</f>
        <v>NO</v>
      </c>
      <c r="P152" t="str">
        <f>IF(Cleanedtable[[#This Row],[Parch]]&gt;0,"YES","NO")</f>
        <v>YES</v>
      </c>
    </row>
    <row r="153" spans="1:16" x14ac:dyDescent="0.35">
      <c r="A153">
        <v>1043</v>
      </c>
      <c r="B153">
        <v>0</v>
      </c>
      <c r="C153">
        <v>3</v>
      </c>
      <c r="D153" t="s">
        <v>233</v>
      </c>
      <c r="E153" t="s">
        <v>11</v>
      </c>
      <c r="F153" t="str">
        <f>IF(Cleanedtable[[#This Row],[Age]]&lt;18,"TEEN",IF(Cleanedtable[[#This Row],[Age]]&lt;30,"YOUTH",IF(Cleanedtable[[#This Row],[Age]]&lt;=59,"ADULT",IF(Cleanedtable[[#This Row],[Age]]&gt;=60,"ELDER"))))</f>
        <v>ADULT</v>
      </c>
      <c r="G153">
        <v>30.2</v>
      </c>
      <c r="H153">
        <v>0</v>
      </c>
      <c r="I153">
        <v>0</v>
      </c>
      <c r="J153" t="s">
        <v>748</v>
      </c>
      <c r="K153">
        <v>7.8958000000000004</v>
      </c>
      <c r="M153" t="s">
        <v>23</v>
      </c>
      <c r="N153" t="str">
        <f>IF(Cleanedtable[[#This Row],[Age]]&lt;18, "YES","NO")</f>
        <v>NO</v>
      </c>
      <c r="O153" t="str">
        <f>IF(Cleanedtable[[#This Row],[SIBLINGS/SPOUSES]]&gt;0,"YES","NO")</f>
        <v>NO</v>
      </c>
      <c r="P153" t="str">
        <f>IF(Cleanedtable[[#This Row],[Parch]]&gt;0,"YES","NO")</f>
        <v>NO</v>
      </c>
    </row>
    <row r="154" spans="1:16" x14ac:dyDescent="0.35">
      <c r="A154">
        <v>1044</v>
      </c>
      <c r="B154">
        <v>0</v>
      </c>
      <c r="C154">
        <v>3</v>
      </c>
      <c r="D154" t="s">
        <v>234</v>
      </c>
      <c r="E154" t="s">
        <v>11</v>
      </c>
      <c r="F154" t="str">
        <f>IF(Cleanedtable[[#This Row],[Age]]&lt;18,"TEEN",IF(Cleanedtable[[#This Row],[Age]]&lt;30,"YOUTH",IF(Cleanedtable[[#This Row],[Age]]&lt;=59,"ADULT",IF(Cleanedtable[[#This Row],[Age]]&gt;=60,"ELDER"))))</f>
        <v>ELDER</v>
      </c>
      <c r="G154">
        <v>60.5</v>
      </c>
      <c r="H154">
        <v>0</v>
      </c>
      <c r="I154">
        <v>0</v>
      </c>
      <c r="J154" t="s">
        <v>749</v>
      </c>
      <c r="M154" t="s">
        <v>15</v>
      </c>
      <c r="N154" t="str">
        <f>IF(Cleanedtable[[#This Row],[Age]]&lt;18, "YES","NO")</f>
        <v>NO</v>
      </c>
      <c r="O154" t="str">
        <f>IF(Cleanedtable[[#This Row],[SIBLINGS/SPOUSES]]&gt;0,"YES","NO")</f>
        <v>NO</v>
      </c>
      <c r="P154" t="str">
        <f>IF(Cleanedtable[[#This Row],[Parch]]&gt;0,"YES","NO")</f>
        <v>NO</v>
      </c>
    </row>
    <row r="155" spans="1:16" x14ac:dyDescent="0.35">
      <c r="A155">
        <v>1045</v>
      </c>
      <c r="B155">
        <v>1</v>
      </c>
      <c r="C155">
        <v>3</v>
      </c>
      <c r="D155" t="s">
        <v>235</v>
      </c>
      <c r="E155" t="s">
        <v>14</v>
      </c>
      <c r="F155" t="str">
        <f>IF(Cleanedtable[[#This Row],[Age]]&lt;18,"TEEN",IF(Cleanedtable[[#This Row],[Age]]&lt;30,"YOUTH",IF(Cleanedtable[[#This Row],[Age]]&lt;=59,"ADULT",IF(Cleanedtable[[#This Row],[Age]]&gt;=60,"ELDER"))))</f>
        <v>ADULT</v>
      </c>
      <c r="G155">
        <v>36</v>
      </c>
      <c r="H155">
        <v>0</v>
      </c>
      <c r="I155">
        <v>2</v>
      </c>
      <c r="J155" t="s">
        <v>750</v>
      </c>
      <c r="K155">
        <v>12.183299999999999</v>
      </c>
      <c r="M155" t="s">
        <v>15</v>
      </c>
      <c r="N155" t="str">
        <f>IF(Cleanedtable[[#This Row],[Age]]&lt;18, "YES","NO")</f>
        <v>NO</v>
      </c>
      <c r="O155" t="str">
        <f>IF(Cleanedtable[[#This Row],[SIBLINGS/SPOUSES]]&gt;0,"YES","NO")</f>
        <v>NO</v>
      </c>
      <c r="P155" t="str">
        <f>IF(Cleanedtable[[#This Row],[Parch]]&gt;0,"YES","NO")</f>
        <v>YES</v>
      </c>
    </row>
    <row r="156" spans="1:16" x14ac:dyDescent="0.35">
      <c r="A156">
        <v>1046</v>
      </c>
      <c r="B156">
        <v>0</v>
      </c>
      <c r="C156">
        <v>3</v>
      </c>
      <c r="D156" t="s">
        <v>236</v>
      </c>
      <c r="E156" t="s">
        <v>11</v>
      </c>
      <c r="F156" t="str">
        <f>IF(Cleanedtable[[#This Row],[Age]]&lt;18,"TEEN",IF(Cleanedtable[[#This Row],[Age]]&lt;30,"YOUTH",IF(Cleanedtable[[#This Row],[Age]]&lt;=59,"ADULT",IF(Cleanedtable[[#This Row],[Age]]&gt;=60,"ELDER"))))</f>
        <v>TEEN</v>
      </c>
      <c r="G156">
        <v>13</v>
      </c>
      <c r="H156">
        <v>4</v>
      </c>
      <c r="I156">
        <v>2</v>
      </c>
      <c r="J156" t="s">
        <v>751</v>
      </c>
      <c r="K156">
        <v>31.387499999999999</v>
      </c>
      <c r="M156" t="s">
        <v>15</v>
      </c>
      <c r="N156" t="str">
        <f>IF(Cleanedtable[[#This Row],[Age]]&lt;18, "YES","NO")</f>
        <v>YES</v>
      </c>
      <c r="O156" t="str">
        <f>IF(Cleanedtable[[#This Row],[SIBLINGS/SPOUSES]]&gt;0,"YES","NO")</f>
        <v>YES</v>
      </c>
      <c r="P156" t="str">
        <f>IF(Cleanedtable[[#This Row],[Parch]]&gt;0,"YES","NO")</f>
        <v>YES</v>
      </c>
    </row>
    <row r="157" spans="1:16" x14ac:dyDescent="0.35">
      <c r="A157">
        <v>1047</v>
      </c>
      <c r="B157">
        <v>0</v>
      </c>
      <c r="C157">
        <v>3</v>
      </c>
      <c r="D157" t="s">
        <v>237</v>
      </c>
      <c r="E157" t="s">
        <v>11</v>
      </c>
      <c r="F157" t="str">
        <f>IF(Cleanedtable[[#This Row],[Age]]&lt;18,"TEEN",IF(Cleanedtable[[#This Row],[Age]]&lt;30,"YOUTH",IF(Cleanedtable[[#This Row],[Age]]&lt;=59,"ADULT",IF(Cleanedtable[[#This Row],[Age]]&gt;=60,"ELDER"))))</f>
        <v>YOUTH</v>
      </c>
      <c r="G157">
        <v>24</v>
      </c>
      <c r="H157">
        <v>0</v>
      </c>
      <c r="I157">
        <v>0</v>
      </c>
      <c r="J157" t="s">
        <v>238</v>
      </c>
      <c r="K157">
        <v>7.55</v>
      </c>
      <c r="M157" t="s">
        <v>15</v>
      </c>
      <c r="N157" t="str">
        <f>IF(Cleanedtable[[#This Row],[Age]]&lt;18, "YES","NO")</f>
        <v>NO</v>
      </c>
      <c r="O157" t="str">
        <f>IF(Cleanedtable[[#This Row],[SIBLINGS/SPOUSES]]&gt;0,"YES","NO")</f>
        <v>NO</v>
      </c>
      <c r="P157" t="str">
        <f>IF(Cleanedtable[[#This Row],[Parch]]&gt;0,"YES","NO")</f>
        <v>NO</v>
      </c>
    </row>
    <row r="158" spans="1:16" x14ac:dyDescent="0.35">
      <c r="A158">
        <v>1048</v>
      </c>
      <c r="B158">
        <v>1</v>
      </c>
      <c r="C158">
        <v>1</v>
      </c>
      <c r="D158" t="s">
        <v>239</v>
      </c>
      <c r="E158" t="s">
        <v>14</v>
      </c>
      <c r="F158" t="str">
        <f>IF(Cleanedtable[[#This Row],[Age]]&lt;18,"TEEN",IF(Cleanedtable[[#This Row],[Age]]&lt;30,"YOUTH",IF(Cleanedtable[[#This Row],[Age]]&lt;=59,"ADULT",IF(Cleanedtable[[#This Row],[Age]]&gt;=60,"ELDER"))))</f>
        <v>YOUTH</v>
      </c>
      <c r="G158">
        <v>29</v>
      </c>
      <c r="H158">
        <v>0</v>
      </c>
      <c r="I158">
        <v>0</v>
      </c>
      <c r="J158" t="s">
        <v>687</v>
      </c>
      <c r="K158">
        <v>221.7792</v>
      </c>
      <c r="L158" t="s">
        <v>240</v>
      </c>
      <c r="M158" t="s">
        <v>15</v>
      </c>
      <c r="N158" t="str">
        <f>IF(Cleanedtable[[#This Row],[Age]]&lt;18, "YES","NO")</f>
        <v>NO</v>
      </c>
      <c r="O158" t="str">
        <f>IF(Cleanedtable[[#This Row],[SIBLINGS/SPOUSES]]&gt;0,"YES","NO")</f>
        <v>NO</v>
      </c>
      <c r="P158" t="str">
        <f>IF(Cleanedtable[[#This Row],[Parch]]&gt;0,"YES","NO")</f>
        <v>NO</v>
      </c>
    </row>
    <row r="159" spans="1:16" x14ac:dyDescent="0.35">
      <c r="A159">
        <v>1049</v>
      </c>
      <c r="B159">
        <v>1</v>
      </c>
      <c r="C159">
        <v>3</v>
      </c>
      <c r="D159" t="s">
        <v>241</v>
      </c>
      <c r="E159" t="s">
        <v>14</v>
      </c>
      <c r="F159" t="str">
        <f>IF(Cleanedtable[[#This Row],[Age]]&lt;18,"TEEN",IF(Cleanedtable[[#This Row],[Age]]&lt;30,"YOUTH",IF(Cleanedtable[[#This Row],[Age]]&lt;=59,"ADULT",IF(Cleanedtable[[#This Row],[Age]]&gt;=60,"ELDER"))))</f>
        <v>YOUTH</v>
      </c>
      <c r="G159">
        <v>23</v>
      </c>
      <c r="H159">
        <v>0</v>
      </c>
      <c r="I159">
        <v>0</v>
      </c>
      <c r="J159" t="s">
        <v>752</v>
      </c>
      <c r="K159">
        <v>7.8541999999999996</v>
      </c>
      <c r="M159" t="s">
        <v>15</v>
      </c>
      <c r="N159" t="str">
        <f>IF(Cleanedtable[[#This Row],[Age]]&lt;18, "YES","NO")</f>
        <v>NO</v>
      </c>
      <c r="O159" t="str">
        <f>IF(Cleanedtable[[#This Row],[SIBLINGS/SPOUSES]]&gt;0,"YES","NO")</f>
        <v>NO</v>
      </c>
      <c r="P159" t="str">
        <f>IF(Cleanedtable[[#This Row],[Parch]]&gt;0,"YES","NO")</f>
        <v>NO</v>
      </c>
    </row>
    <row r="160" spans="1:16" x14ac:dyDescent="0.35">
      <c r="A160">
        <v>1050</v>
      </c>
      <c r="B160">
        <v>0</v>
      </c>
      <c r="C160">
        <v>1</v>
      </c>
      <c r="D160" t="s">
        <v>242</v>
      </c>
      <c r="E160" t="s">
        <v>11</v>
      </c>
      <c r="F160" t="str">
        <f>IF(Cleanedtable[[#This Row],[Age]]&lt;18,"TEEN",IF(Cleanedtable[[#This Row],[Age]]&lt;30,"YOUTH",IF(Cleanedtable[[#This Row],[Age]]&lt;=59,"ADULT",IF(Cleanedtable[[#This Row],[Age]]&gt;=60,"ELDER"))))</f>
        <v>ADULT</v>
      </c>
      <c r="G160">
        <v>42</v>
      </c>
      <c r="H160">
        <v>0</v>
      </c>
      <c r="I160">
        <v>0</v>
      </c>
      <c r="J160" t="s">
        <v>753</v>
      </c>
      <c r="K160">
        <v>26.55</v>
      </c>
      <c r="L160" t="s">
        <v>243</v>
      </c>
      <c r="M160" t="s">
        <v>15</v>
      </c>
      <c r="N160" t="str">
        <f>IF(Cleanedtable[[#This Row],[Age]]&lt;18, "YES","NO")</f>
        <v>NO</v>
      </c>
      <c r="O160" t="str">
        <f>IF(Cleanedtable[[#This Row],[SIBLINGS/SPOUSES]]&gt;0,"YES","NO")</f>
        <v>NO</v>
      </c>
      <c r="P160" t="str">
        <f>IF(Cleanedtable[[#This Row],[Parch]]&gt;0,"YES","NO")</f>
        <v>NO</v>
      </c>
    </row>
    <row r="161" spans="1:16" x14ac:dyDescent="0.35">
      <c r="A161">
        <v>1051</v>
      </c>
      <c r="B161">
        <v>1</v>
      </c>
      <c r="C161">
        <v>3</v>
      </c>
      <c r="D161" t="s">
        <v>244</v>
      </c>
      <c r="E161" t="s">
        <v>14</v>
      </c>
      <c r="F161" t="str">
        <f>IF(Cleanedtable[[#This Row],[Age]]&lt;18,"TEEN",IF(Cleanedtable[[#This Row],[Age]]&lt;30,"YOUTH",IF(Cleanedtable[[#This Row],[Age]]&lt;=59,"ADULT",IF(Cleanedtable[[#This Row],[Age]]&gt;=60,"ELDER"))))</f>
        <v>YOUTH</v>
      </c>
      <c r="G161">
        <v>26</v>
      </c>
      <c r="H161">
        <v>0</v>
      </c>
      <c r="I161">
        <v>2</v>
      </c>
      <c r="J161" t="s">
        <v>754</v>
      </c>
      <c r="K161">
        <v>13.775</v>
      </c>
      <c r="M161" t="s">
        <v>15</v>
      </c>
      <c r="N161" t="str">
        <f>IF(Cleanedtable[[#This Row],[Age]]&lt;18, "YES","NO")</f>
        <v>NO</v>
      </c>
      <c r="O161" t="str">
        <f>IF(Cleanedtable[[#This Row],[SIBLINGS/SPOUSES]]&gt;0,"YES","NO")</f>
        <v>NO</v>
      </c>
      <c r="P161" t="str">
        <f>IF(Cleanedtable[[#This Row],[Parch]]&gt;0,"YES","NO")</f>
        <v>YES</v>
      </c>
    </row>
    <row r="162" spans="1:16" x14ac:dyDescent="0.35">
      <c r="A162">
        <v>1052</v>
      </c>
      <c r="B162">
        <v>1</v>
      </c>
      <c r="C162">
        <v>3</v>
      </c>
      <c r="D162" t="s">
        <v>246</v>
      </c>
      <c r="E162" t="s">
        <v>14</v>
      </c>
      <c r="F162" t="str">
        <f>IF(Cleanedtable[[#This Row],[Age]]&lt;18,"TEEN",IF(Cleanedtable[[#This Row],[Age]]&lt;30,"YOUTH",IF(Cleanedtable[[#This Row],[Age]]&lt;=59,"ADULT",IF(Cleanedtable[[#This Row],[Age]]&gt;=60,"ELDER"))))</f>
        <v>ADULT</v>
      </c>
      <c r="G162">
        <v>30.2</v>
      </c>
      <c r="H162">
        <v>0</v>
      </c>
      <c r="I162">
        <v>0</v>
      </c>
      <c r="J162" t="s">
        <v>755</v>
      </c>
      <c r="K162">
        <v>7.7332999999999998</v>
      </c>
      <c r="M162" t="s">
        <v>12</v>
      </c>
      <c r="N162" t="str">
        <f>IF(Cleanedtable[[#This Row],[Age]]&lt;18, "YES","NO")</f>
        <v>NO</v>
      </c>
      <c r="O162" t="str">
        <f>IF(Cleanedtable[[#This Row],[SIBLINGS/SPOUSES]]&gt;0,"YES","NO")</f>
        <v>NO</v>
      </c>
      <c r="P162" t="str">
        <f>IF(Cleanedtable[[#This Row],[Parch]]&gt;0,"YES","NO")</f>
        <v>NO</v>
      </c>
    </row>
    <row r="163" spans="1:16" x14ac:dyDescent="0.35">
      <c r="A163">
        <v>1053</v>
      </c>
      <c r="B163">
        <v>0</v>
      </c>
      <c r="C163">
        <v>3</v>
      </c>
      <c r="D163" t="s">
        <v>247</v>
      </c>
      <c r="E163" t="s">
        <v>11</v>
      </c>
      <c r="F163" t="str">
        <f>IF(Cleanedtable[[#This Row],[Age]]&lt;18,"TEEN",IF(Cleanedtable[[#This Row],[Age]]&lt;30,"YOUTH",IF(Cleanedtable[[#This Row],[Age]]&lt;=59,"ADULT",IF(Cleanedtable[[#This Row],[Age]]&gt;=60,"ELDER"))))</f>
        <v>TEEN</v>
      </c>
      <c r="G163">
        <v>7</v>
      </c>
      <c r="H163">
        <v>1</v>
      </c>
      <c r="I163">
        <v>1</v>
      </c>
      <c r="J163" t="s">
        <v>756</v>
      </c>
      <c r="K163">
        <v>15.245799999999999</v>
      </c>
      <c r="M163" t="s">
        <v>23</v>
      </c>
      <c r="N163" t="str">
        <f>IF(Cleanedtable[[#This Row],[Age]]&lt;18, "YES","NO")</f>
        <v>YES</v>
      </c>
      <c r="O163" t="str">
        <f>IF(Cleanedtable[[#This Row],[SIBLINGS/SPOUSES]]&gt;0,"YES","NO")</f>
        <v>YES</v>
      </c>
      <c r="P163" t="str">
        <f>IF(Cleanedtable[[#This Row],[Parch]]&gt;0,"YES","NO")</f>
        <v>YES</v>
      </c>
    </row>
    <row r="164" spans="1:16" x14ac:dyDescent="0.35">
      <c r="A164">
        <v>1054</v>
      </c>
      <c r="B164">
        <v>1</v>
      </c>
      <c r="C164">
        <v>2</v>
      </c>
      <c r="D164" t="s">
        <v>248</v>
      </c>
      <c r="E164" t="s">
        <v>14</v>
      </c>
      <c r="F164" t="str">
        <f>IF(Cleanedtable[[#This Row],[Age]]&lt;18,"TEEN",IF(Cleanedtable[[#This Row],[Age]]&lt;30,"YOUTH",IF(Cleanedtable[[#This Row],[Age]]&lt;=59,"ADULT",IF(Cleanedtable[[#This Row],[Age]]&gt;=60,"ELDER"))))</f>
        <v>YOUTH</v>
      </c>
      <c r="G164">
        <v>26</v>
      </c>
      <c r="H164">
        <v>0</v>
      </c>
      <c r="I164">
        <v>0</v>
      </c>
      <c r="J164" t="s">
        <v>757</v>
      </c>
      <c r="K164">
        <v>13.5</v>
      </c>
      <c r="M164" t="s">
        <v>15</v>
      </c>
      <c r="N164" t="str">
        <f>IF(Cleanedtable[[#This Row],[Age]]&lt;18, "YES","NO")</f>
        <v>NO</v>
      </c>
      <c r="O164" t="str">
        <f>IF(Cleanedtable[[#This Row],[SIBLINGS/SPOUSES]]&gt;0,"YES","NO")</f>
        <v>NO</v>
      </c>
      <c r="P164" t="str">
        <f>IF(Cleanedtable[[#This Row],[Parch]]&gt;0,"YES","NO")</f>
        <v>NO</v>
      </c>
    </row>
    <row r="165" spans="1:16" x14ac:dyDescent="0.35">
      <c r="A165">
        <v>1055</v>
      </c>
      <c r="B165">
        <v>0</v>
      </c>
      <c r="C165">
        <v>3</v>
      </c>
      <c r="D165" t="s">
        <v>249</v>
      </c>
      <c r="E165" t="s">
        <v>11</v>
      </c>
      <c r="F165" t="str">
        <f>IF(Cleanedtable[[#This Row],[Age]]&lt;18,"TEEN",IF(Cleanedtable[[#This Row],[Age]]&lt;30,"YOUTH",IF(Cleanedtable[[#This Row],[Age]]&lt;=59,"ADULT",IF(Cleanedtable[[#This Row],[Age]]&gt;=60,"ELDER"))))</f>
        <v>ADULT</v>
      </c>
      <c r="G165">
        <v>30.2</v>
      </c>
      <c r="H165">
        <v>0</v>
      </c>
      <c r="I165">
        <v>0</v>
      </c>
      <c r="J165" t="s">
        <v>758</v>
      </c>
      <c r="K165">
        <v>7</v>
      </c>
      <c r="M165" t="s">
        <v>15</v>
      </c>
      <c r="N165" t="str">
        <f>IF(Cleanedtable[[#This Row],[Age]]&lt;18, "YES","NO")</f>
        <v>NO</v>
      </c>
      <c r="O165" t="str">
        <f>IF(Cleanedtable[[#This Row],[SIBLINGS/SPOUSES]]&gt;0,"YES","NO")</f>
        <v>NO</v>
      </c>
      <c r="P165" t="str">
        <f>IF(Cleanedtable[[#This Row],[Parch]]&gt;0,"YES","NO")</f>
        <v>NO</v>
      </c>
    </row>
    <row r="166" spans="1:16" x14ac:dyDescent="0.35">
      <c r="A166">
        <v>1056</v>
      </c>
      <c r="B166">
        <v>0</v>
      </c>
      <c r="C166">
        <v>2</v>
      </c>
      <c r="D166" t="s">
        <v>250</v>
      </c>
      <c r="E166" t="s">
        <v>11</v>
      </c>
      <c r="F166" t="str">
        <f>IF(Cleanedtable[[#This Row],[Age]]&lt;18,"TEEN",IF(Cleanedtable[[#This Row],[Age]]&lt;30,"YOUTH",IF(Cleanedtable[[#This Row],[Age]]&lt;=59,"ADULT",IF(Cleanedtable[[#This Row],[Age]]&gt;=60,"ELDER"))))</f>
        <v>ADULT</v>
      </c>
      <c r="G166">
        <v>41</v>
      </c>
      <c r="H166">
        <v>0</v>
      </c>
      <c r="I166">
        <v>0</v>
      </c>
      <c r="J166" t="s">
        <v>759</v>
      </c>
      <c r="K166">
        <v>13</v>
      </c>
      <c r="M166" t="s">
        <v>15</v>
      </c>
      <c r="N166" t="str">
        <f>IF(Cleanedtable[[#This Row],[Age]]&lt;18, "YES","NO")</f>
        <v>NO</v>
      </c>
      <c r="O166" t="str">
        <f>IF(Cleanedtable[[#This Row],[SIBLINGS/SPOUSES]]&gt;0,"YES","NO")</f>
        <v>NO</v>
      </c>
      <c r="P166" t="str">
        <f>IF(Cleanedtable[[#This Row],[Parch]]&gt;0,"YES","NO")</f>
        <v>NO</v>
      </c>
    </row>
    <row r="167" spans="1:16" x14ac:dyDescent="0.35">
      <c r="A167">
        <v>1057</v>
      </c>
      <c r="B167">
        <v>1</v>
      </c>
      <c r="C167">
        <v>3</v>
      </c>
      <c r="D167" t="s">
        <v>251</v>
      </c>
      <c r="E167" t="s">
        <v>14</v>
      </c>
      <c r="F167" t="str">
        <f>IF(Cleanedtable[[#This Row],[Age]]&lt;18,"TEEN",IF(Cleanedtable[[#This Row],[Age]]&lt;30,"YOUTH",IF(Cleanedtable[[#This Row],[Age]]&lt;=59,"ADULT",IF(Cleanedtable[[#This Row],[Age]]&gt;=60,"ELDER"))))</f>
        <v>YOUTH</v>
      </c>
      <c r="G167">
        <v>26</v>
      </c>
      <c r="H167">
        <v>1</v>
      </c>
      <c r="I167">
        <v>1</v>
      </c>
      <c r="J167" t="s">
        <v>760</v>
      </c>
      <c r="K167">
        <v>22.024999999999999</v>
      </c>
      <c r="M167" t="s">
        <v>15</v>
      </c>
      <c r="N167" t="str">
        <f>IF(Cleanedtable[[#This Row],[Age]]&lt;18, "YES","NO")</f>
        <v>NO</v>
      </c>
      <c r="O167" t="str">
        <f>IF(Cleanedtable[[#This Row],[SIBLINGS/SPOUSES]]&gt;0,"YES","NO")</f>
        <v>YES</v>
      </c>
      <c r="P167" t="str">
        <f>IF(Cleanedtable[[#This Row],[Parch]]&gt;0,"YES","NO")</f>
        <v>YES</v>
      </c>
    </row>
    <row r="168" spans="1:16" x14ac:dyDescent="0.35">
      <c r="A168">
        <v>1058</v>
      </c>
      <c r="B168">
        <v>0</v>
      </c>
      <c r="C168">
        <v>1</v>
      </c>
      <c r="D168" t="s">
        <v>252</v>
      </c>
      <c r="E168" t="s">
        <v>11</v>
      </c>
      <c r="F168" t="str">
        <f>IF(Cleanedtable[[#This Row],[Age]]&lt;18,"TEEN",IF(Cleanedtable[[#This Row],[Age]]&lt;30,"YOUTH",IF(Cleanedtable[[#This Row],[Age]]&lt;=59,"ADULT",IF(Cleanedtable[[#This Row],[Age]]&gt;=60,"ELDER"))))</f>
        <v>ADULT</v>
      </c>
      <c r="G168">
        <v>48</v>
      </c>
      <c r="H168">
        <v>0</v>
      </c>
      <c r="I168">
        <v>0</v>
      </c>
      <c r="J168" t="s">
        <v>761</v>
      </c>
      <c r="K168">
        <v>50.495800000000003</v>
      </c>
      <c r="L168" t="s">
        <v>254</v>
      </c>
      <c r="M168" t="s">
        <v>23</v>
      </c>
      <c r="N168" t="str">
        <f>IF(Cleanedtable[[#This Row],[Age]]&lt;18, "YES","NO")</f>
        <v>NO</v>
      </c>
      <c r="O168" t="str">
        <f>IF(Cleanedtable[[#This Row],[SIBLINGS/SPOUSES]]&gt;0,"YES","NO")</f>
        <v>NO</v>
      </c>
      <c r="P168" t="str">
        <f>IF(Cleanedtable[[#This Row],[Parch]]&gt;0,"YES","NO")</f>
        <v>NO</v>
      </c>
    </row>
    <row r="169" spans="1:16" x14ac:dyDescent="0.35">
      <c r="A169">
        <v>1059</v>
      </c>
      <c r="B169">
        <v>0</v>
      </c>
      <c r="C169">
        <v>3</v>
      </c>
      <c r="D169" t="s">
        <v>255</v>
      </c>
      <c r="E169" t="s">
        <v>11</v>
      </c>
      <c r="F169" t="str">
        <f>IF(Cleanedtable[[#This Row],[Age]]&lt;18,"TEEN",IF(Cleanedtable[[#This Row],[Age]]&lt;30,"YOUTH",IF(Cleanedtable[[#This Row],[Age]]&lt;=59,"ADULT",IF(Cleanedtable[[#This Row],[Age]]&gt;=60,"ELDER"))))</f>
        <v>YOUTH</v>
      </c>
      <c r="G169">
        <v>18</v>
      </c>
      <c r="H169">
        <v>2</v>
      </c>
      <c r="I169">
        <v>2</v>
      </c>
      <c r="J169" t="s">
        <v>256</v>
      </c>
      <c r="K169">
        <v>34.375</v>
      </c>
      <c r="M169" t="s">
        <v>15</v>
      </c>
      <c r="N169" t="str">
        <f>IF(Cleanedtable[[#This Row],[Age]]&lt;18, "YES","NO")</f>
        <v>NO</v>
      </c>
      <c r="O169" t="str">
        <f>IF(Cleanedtable[[#This Row],[SIBLINGS/SPOUSES]]&gt;0,"YES","NO")</f>
        <v>YES</v>
      </c>
      <c r="P169" t="str">
        <f>IF(Cleanedtable[[#This Row],[Parch]]&gt;0,"YES","NO")</f>
        <v>YES</v>
      </c>
    </row>
    <row r="170" spans="1:16" x14ac:dyDescent="0.35">
      <c r="A170">
        <v>1060</v>
      </c>
      <c r="B170">
        <v>1</v>
      </c>
      <c r="C170">
        <v>1</v>
      </c>
      <c r="D170" t="s">
        <v>257</v>
      </c>
      <c r="E170" t="s">
        <v>14</v>
      </c>
      <c r="F170" t="str">
        <f>IF(Cleanedtable[[#This Row],[Age]]&lt;18,"TEEN",IF(Cleanedtable[[#This Row],[Age]]&lt;30,"YOUTH",IF(Cleanedtable[[#This Row],[Age]]&lt;=59,"ADULT",IF(Cleanedtable[[#This Row],[Age]]&gt;=60,"ELDER"))))</f>
        <v>ADULT</v>
      </c>
      <c r="G170">
        <v>30.2</v>
      </c>
      <c r="H170">
        <v>0</v>
      </c>
      <c r="I170">
        <v>0</v>
      </c>
      <c r="J170" t="s">
        <v>762</v>
      </c>
      <c r="K170">
        <v>27.720800000000001</v>
      </c>
      <c r="M170" t="s">
        <v>23</v>
      </c>
      <c r="N170" t="str">
        <f>IF(Cleanedtable[[#This Row],[Age]]&lt;18, "YES","NO")</f>
        <v>NO</v>
      </c>
      <c r="O170" t="str">
        <f>IF(Cleanedtable[[#This Row],[SIBLINGS/SPOUSES]]&gt;0,"YES","NO")</f>
        <v>NO</v>
      </c>
      <c r="P170" t="str">
        <f>IF(Cleanedtable[[#This Row],[Parch]]&gt;0,"YES","NO")</f>
        <v>NO</v>
      </c>
    </row>
    <row r="171" spans="1:16" x14ac:dyDescent="0.35">
      <c r="A171">
        <v>1061</v>
      </c>
      <c r="B171">
        <v>1</v>
      </c>
      <c r="C171">
        <v>3</v>
      </c>
      <c r="D171" t="s">
        <v>258</v>
      </c>
      <c r="E171" t="s">
        <v>14</v>
      </c>
      <c r="F171" t="str">
        <f>IF(Cleanedtable[[#This Row],[Age]]&lt;18,"TEEN",IF(Cleanedtable[[#This Row],[Age]]&lt;30,"YOUTH",IF(Cleanedtable[[#This Row],[Age]]&lt;=59,"ADULT",IF(Cleanedtable[[#This Row],[Age]]&gt;=60,"ELDER"))))</f>
        <v>YOUTH</v>
      </c>
      <c r="G171">
        <v>22</v>
      </c>
      <c r="H171">
        <v>0</v>
      </c>
      <c r="I171">
        <v>0</v>
      </c>
      <c r="J171" t="s">
        <v>763</v>
      </c>
      <c r="K171">
        <v>8.9625000000000004</v>
      </c>
      <c r="M171" t="s">
        <v>15</v>
      </c>
      <c r="N171" t="str">
        <f>IF(Cleanedtable[[#This Row],[Age]]&lt;18, "YES","NO")</f>
        <v>NO</v>
      </c>
      <c r="O171" t="str">
        <f>IF(Cleanedtable[[#This Row],[SIBLINGS/SPOUSES]]&gt;0,"YES","NO")</f>
        <v>NO</v>
      </c>
      <c r="P171" t="str">
        <f>IF(Cleanedtable[[#This Row],[Parch]]&gt;0,"YES","NO")</f>
        <v>NO</v>
      </c>
    </row>
    <row r="172" spans="1:16" x14ac:dyDescent="0.35">
      <c r="A172">
        <v>1062</v>
      </c>
      <c r="B172">
        <v>0</v>
      </c>
      <c r="C172">
        <v>3</v>
      </c>
      <c r="D172" t="s">
        <v>259</v>
      </c>
      <c r="E172" t="s">
        <v>11</v>
      </c>
      <c r="F172" t="str">
        <f>IF(Cleanedtable[[#This Row],[Age]]&lt;18,"TEEN",IF(Cleanedtable[[#This Row],[Age]]&lt;30,"YOUTH",IF(Cleanedtable[[#This Row],[Age]]&lt;=59,"ADULT",IF(Cleanedtable[[#This Row],[Age]]&gt;=60,"ELDER"))))</f>
        <v>ADULT</v>
      </c>
      <c r="G172">
        <v>30.2</v>
      </c>
      <c r="H172">
        <v>0</v>
      </c>
      <c r="I172">
        <v>0</v>
      </c>
      <c r="J172" t="s">
        <v>260</v>
      </c>
      <c r="K172">
        <v>7.55</v>
      </c>
      <c r="M172" t="s">
        <v>15</v>
      </c>
      <c r="N172" t="str">
        <f>IF(Cleanedtable[[#This Row],[Age]]&lt;18, "YES","NO")</f>
        <v>NO</v>
      </c>
      <c r="O172" t="str">
        <f>IF(Cleanedtable[[#This Row],[SIBLINGS/SPOUSES]]&gt;0,"YES","NO")</f>
        <v>NO</v>
      </c>
      <c r="P172" t="str">
        <f>IF(Cleanedtable[[#This Row],[Parch]]&gt;0,"YES","NO")</f>
        <v>NO</v>
      </c>
    </row>
    <row r="173" spans="1:16" x14ac:dyDescent="0.35">
      <c r="A173">
        <v>1063</v>
      </c>
      <c r="B173">
        <v>0</v>
      </c>
      <c r="C173">
        <v>3</v>
      </c>
      <c r="D173" t="s">
        <v>261</v>
      </c>
      <c r="E173" t="s">
        <v>11</v>
      </c>
      <c r="F173" t="str">
        <f>IF(Cleanedtable[[#This Row],[Age]]&lt;18,"TEEN",IF(Cleanedtable[[#This Row],[Age]]&lt;30,"YOUTH",IF(Cleanedtable[[#This Row],[Age]]&lt;=59,"ADULT",IF(Cleanedtable[[#This Row],[Age]]&gt;=60,"ELDER"))))</f>
        <v>YOUTH</v>
      </c>
      <c r="G173">
        <v>27</v>
      </c>
      <c r="H173">
        <v>0</v>
      </c>
      <c r="I173">
        <v>0</v>
      </c>
      <c r="J173" t="s">
        <v>764</v>
      </c>
      <c r="K173">
        <v>7.2249999999999996</v>
      </c>
      <c r="M173" t="s">
        <v>23</v>
      </c>
      <c r="N173" t="str">
        <f>IF(Cleanedtable[[#This Row],[Age]]&lt;18, "YES","NO")</f>
        <v>NO</v>
      </c>
      <c r="O173" t="str">
        <f>IF(Cleanedtable[[#This Row],[SIBLINGS/SPOUSES]]&gt;0,"YES","NO")</f>
        <v>NO</v>
      </c>
      <c r="P173" t="str">
        <f>IF(Cleanedtable[[#This Row],[Parch]]&gt;0,"YES","NO")</f>
        <v>NO</v>
      </c>
    </row>
    <row r="174" spans="1:16" x14ac:dyDescent="0.35">
      <c r="A174">
        <v>1064</v>
      </c>
      <c r="B174">
        <v>0</v>
      </c>
      <c r="C174">
        <v>3</v>
      </c>
      <c r="D174" t="s">
        <v>262</v>
      </c>
      <c r="E174" t="s">
        <v>11</v>
      </c>
      <c r="F174" t="str">
        <f>IF(Cleanedtable[[#This Row],[Age]]&lt;18,"TEEN",IF(Cleanedtable[[#This Row],[Age]]&lt;30,"YOUTH",IF(Cleanedtable[[#This Row],[Age]]&lt;=59,"ADULT",IF(Cleanedtable[[#This Row],[Age]]&gt;=60,"ELDER"))))</f>
        <v>YOUTH</v>
      </c>
      <c r="G174">
        <v>23</v>
      </c>
      <c r="H174">
        <v>1</v>
      </c>
      <c r="I174">
        <v>0</v>
      </c>
      <c r="J174" t="s">
        <v>695</v>
      </c>
      <c r="K174">
        <v>13.9</v>
      </c>
      <c r="M174" t="s">
        <v>15</v>
      </c>
      <c r="N174" t="str">
        <f>IF(Cleanedtable[[#This Row],[Age]]&lt;18, "YES","NO")</f>
        <v>NO</v>
      </c>
      <c r="O174" t="str">
        <f>IF(Cleanedtable[[#This Row],[SIBLINGS/SPOUSES]]&gt;0,"YES","NO")</f>
        <v>YES</v>
      </c>
      <c r="P174" t="str">
        <f>IF(Cleanedtable[[#This Row],[Parch]]&gt;0,"YES","NO")</f>
        <v>NO</v>
      </c>
    </row>
    <row r="175" spans="1:16" x14ac:dyDescent="0.35">
      <c r="A175">
        <v>1065</v>
      </c>
      <c r="B175">
        <v>0</v>
      </c>
      <c r="C175">
        <v>3</v>
      </c>
      <c r="D175" t="s">
        <v>263</v>
      </c>
      <c r="E175" t="s">
        <v>11</v>
      </c>
      <c r="F175" t="str">
        <f>IF(Cleanedtable[[#This Row],[Age]]&lt;18,"TEEN",IF(Cleanedtable[[#This Row],[Age]]&lt;30,"YOUTH",IF(Cleanedtable[[#This Row],[Age]]&lt;=59,"ADULT",IF(Cleanedtable[[#This Row],[Age]]&gt;=60,"ELDER"))))</f>
        <v>ADULT</v>
      </c>
      <c r="G175">
        <v>30.2</v>
      </c>
      <c r="H175">
        <v>0</v>
      </c>
      <c r="I175">
        <v>0</v>
      </c>
      <c r="J175" t="s">
        <v>765</v>
      </c>
      <c r="K175">
        <v>7.2291999999999996</v>
      </c>
      <c r="M175" t="s">
        <v>23</v>
      </c>
      <c r="N175" t="str">
        <f>IF(Cleanedtable[[#This Row],[Age]]&lt;18, "YES","NO")</f>
        <v>NO</v>
      </c>
      <c r="O175" t="str">
        <f>IF(Cleanedtable[[#This Row],[SIBLINGS/SPOUSES]]&gt;0,"YES","NO")</f>
        <v>NO</v>
      </c>
      <c r="P175" t="str">
        <f>IF(Cleanedtable[[#This Row],[Parch]]&gt;0,"YES","NO")</f>
        <v>NO</v>
      </c>
    </row>
    <row r="176" spans="1:16" x14ac:dyDescent="0.35">
      <c r="A176">
        <v>1066</v>
      </c>
      <c r="B176">
        <v>0</v>
      </c>
      <c r="C176">
        <v>3</v>
      </c>
      <c r="D176" t="s">
        <v>264</v>
      </c>
      <c r="E176" t="s">
        <v>11</v>
      </c>
      <c r="F176" t="str">
        <f>IF(Cleanedtable[[#This Row],[Age]]&lt;18,"TEEN",IF(Cleanedtable[[#This Row],[Age]]&lt;30,"YOUTH",IF(Cleanedtable[[#This Row],[Age]]&lt;=59,"ADULT",IF(Cleanedtable[[#This Row],[Age]]&gt;=60,"ELDER"))))</f>
        <v>ADULT</v>
      </c>
      <c r="G176">
        <v>40</v>
      </c>
      <c r="H176">
        <v>1</v>
      </c>
      <c r="I176">
        <v>5</v>
      </c>
      <c r="J176" t="s">
        <v>751</v>
      </c>
      <c r="K176">
        <v>31.387499999999999</v>
      </c>
      <c r="M176" t="s">
        <v>15</v>
      </c>
      <c r="N176" t="str">
        <f>IF(Cleanedtable[[#This Row],[Age]]&lt;18, "YES","NO")</f>
        <v>NO</v>
      </c>
      <c r="O176" t="str">
        <f>IF(Cleanedtable[[#This Row],[SIBLINGS/SPOUSES]]&gt;0,"YES","NO")</f>
        <v>YES</v>
      </c>
      <c r="P176" t="str">
        <f>IF(Cleanedtable[[#This Row],[Parch]]&gt;0,"YES","NO")</f>
        <v>YES</v>
      </c>
    </row>
    <row r="177" spans="1:16" x14ac:dyDescent="0.35">
      <c r="A177">
        <v>1067</v>
      </c>
      <c r="B177">
        <v>1</v>
      </c>
      <c r="C177">
        <v>2</v>
      </c>
      <c r="D177" t="s">
        <v>265</v>
      </c>
      <c r="E177" t="s">
        <v>14</v>
      </c>
      <c r="F177" t="str">
        <f>IF(Cleanedtable[[#This Row],[Age]]&lt;18,"TEEN",IF(Cleanedtable[[#This Row],[Age]]&lt;30,"YOUTH",IF(Cleanedtable[[#This Row],[Age]]&lt;=59,"ADULT",IF(Cleanedtable[[#This Row],[Age]]&gt;=60,"ELDER"))))</f>
        <v>TEEN</v>
      </c>
      <c r="G177">
        <v>15</v>
      </c>
      <c r="H177">
        <v>0</v>
      </c>
      <c r="I177">
        <v>2</v>
      </c>
      <c r="J177" t="s">
        <v>766</v>
      </c>
      <c r="K177">
        <v>39</v>
      </c>
      <c r="M177" t="s">
        <v>15</v>
      </c>
      <c r="N177" t="str">
        <f>IF(Cleanedtable[[#This Row],[Age]]&lt;18, "YES","NO")</f>
        <v>YES</v>
      </c>
      <c r="O177" t="str">
        <f>IF(Cleanedtable[[#This Row],[SIBLINGS/SPOUSES]]&gt;0,"YES","NO")</f>
        <v>NO</v>
      </c>
      <c r="P177" t="str">
        <f>IF(Cleanedtable[[#This Row],[Parch]]&gt;0,"YES","NO")</f>
        <v>YES</v>
      </c>
    </row>
    <row r="178" spans="1:16" x14ac:dyDescent="0.35">
      <c r="A178">
        <v>1068</v>
      </c>
      <c r="B178">
        <v>1</v>
      </c>
      <c r="C178">
        <v>2</v>
      </c>
      <c r="D178" t="s">
        <v>266</v>
      </c>
      <c r="E178" t="s">
        <v>14</v>
      </c>
      <c r="F178" t="str">
        <f>IF(Cleanedtable[[#This Row],[Age]]&lt;18,"TEEN",IF(Cleanedtable[[#This Row],[Age]]&lt;30,"YOUTH",IF(Cleanedtable[[#This Row],[Age]]&lt;=59,"ADULT",IF(Cleanedtable[[#This Row],[Age]]&gt;=60,"ELDER"))))</f>
        <v>YOUTH</v>
      </c>
      <c r="G178">
        <v>20</v>
      </c>
      <c r="H178">
        <v>0</v>
      </c>
      <c r="I178">
        <v>0</v>
      </c>
      <c r="J178" t="s">
        <v>267</v>
      </c>
      <c r="K178">
        <v>36.75</v>
      </c>
      <c r="M178" t="s">
        <v>15</v>
      </c>
      <c r="N178" t="str">
        <f>IF(Cleanedtable[[#This Row],[Age]]&lt;18, "YES","NO")</f>
        <v>NO</v>
      </c>
      <c r="O178" t="str">
        <f>IF(Cleanedtable[[#This Row],[SIBLINGS/SPOUSES]]&gt;0,"YES","NO")</f>
        <v>NO</v>
      </c>
      <c r="P178" t="str">
        <f>IF(Cleanedtable[[#This Row],[Parch]]&gt;0,"YES","NO")</f>
        <v>NO</v>
      </c>
    </row>
    <row r="179" spans="1:16" x14ac:dyDescent="0.35">
      <c r="A179">
        <v>1069</v>
      </c>
      <c r="B179">
        <v>0</v>
      </c>
      <c r="C179">
        <v>1</v>
      </c>
      <c r="D179" t="s">
        <v>268</v>
      </c>
      <c r="E179" t="s">
        <v>11</v>
      </c>
      <c r="F179" t="str">
        <f>IF(Cleanedtable[[#This Row],[Age]]&lt;18,"TEEN",IF(Cleanedtable[[#This Row],[Age]]&lt;30,"YOUTH",IF(Cleanedtable[[#This Row],[Age]]&lt;=59,"ADULT",IF(Cleanedtable[[#This Row],[Age]]&gt;=60,"ELDER"))))</f>
        <v>ADULT</v>
      </c>
      <c r="G179">
        <v>54</v>
      </c>
      <c r="H179">
        <v>1</v>
      </c>
      <c r="I179">
        <v>0</v>
      </c>
      <c r="J179" t="s">
        <v>703</v>
      </c>
      <c r="K179">
        <v>55.441699999999997</v>
      </c>
      <c r="L179" t="s">
        <v>165</v>
      </c>
      <c r="M179" t="s">
        <v>23</v>
      </c>
      <c r="N179" t="str">
        <f>IF(Cleanedtable[[#This Row],[Age]]&lt;18, "YES","NO")</f>
        <v>NO</v>
      </c>
      <c r="O179" t="str">
        <f>IF(Cleanedtable[[#This Row],[SIBLINGS/SPOUSES]]&gt;0,"YES","NO")</f>
        <v>YES</v>
      </c>
      <c r="P179" t="str">
        <f>IF(Cleanedtable[[#This Row],[Parch]]&gt;0,"YES","NO")</f>
        <v>NO</v>
      </c>
    </row>
    <row r="180" spans="1:16" x14ac:dyDescent="0.35">
      <c r="A180">
        <v>1070</v>
      </c>
      <c r="B180">
        <v>1</v>
      </c>
      <c r="C180">
        <v>2</v>
      </c>
      <c r="D180" t="s">
        <v>269</v>
      </c>
      <c r="E180" t="s">
        <v>14</v>
      </c>
      <c r="F180" t="str">
        <f>IF(Cleanedtable[[#This Row],[Age]]&lt;18,"TEEN",IF(Cleanedtable[[#This Row],[Age]]&lt;30,"YOUTH",IF(Cleanedtable[[#This Row],[Age]]&lt;=59,"ADULT",IF(Cleanedtable[[#This Row],[Age]]&gt;=60,"ELDER"))))</f>
        <v>ADULT</v>
      </c>
      <c r="G180">
        <v>36</v>
      </c>
      <c r="H180">
        <v>0</v>
      </c>
      <c r="I180">
        <v>3</v>
      </c>
      <c r="J180" t="s">
        <v>767</v>
      </c>
      <c r="K180">
        <v>39</v>
      </c>
      <c r="L180" t="s">
        <v>270</v>
      </c>
      <c r="M180" t="s">
        <v>15</v>
      </c>
      <c r="N180" t="str">
        <f>IF(Cleanedtable[[#This Row],[Age]]&lt;18, "YES","NO")</f>
        <v>NO</v>
      </c>
      <c r="O180" t="str">
        <f>IF(Cleanedtable[[#This Row],[SIBLINGS/SPOUSES]]&gt;0,"YES","NO")</f>
        <v>NO</v>
      </c>
      <c r="P180" t="str">
        <f>IF(Cleanedtable[[#This Row],[Parch]]&gt;0,"YES","NO")</f>
        <v>YES</v>
      </c>
    </row>
    <row r="181" spans="1:16" x14ac:dyDescent="0.35">
      <c r="A181">
        <v>1071</v>
      </c>
      <c r="B181">
        <v>1</v>
      </c>
      <c r="C181">
        <v>1</v>
      </c>
      <c r="D181" t="s">
        <v>271</v>
      </c>
      <c r="E181" t="s">
        <v>14</v>
      </c>
      <c r="F181" t="str">
        <f>IF(Cleanedtable[[#This Row],[Age]]&lt;18,"TEEN",IF(Cleanedtable[[#This Row],[Age]]&lt;30,"YOUTH",IF(Cleanedtable[[#This Row],[Age]]&lt;=59,"ADULT",IF(Cleanedtable[[#This Row],[Age]]&gt;=60,"ELDER"))))</f>
        <v>ELDER</v>
      </c>
      <c r="G181">
        <v>64</v>
      </c>
      <c r="H181">
        <v>0</v>
      </c>
      <c r="I181">
        <v>2</v>
      </c>
      <c r="J181" t="s">
        <v>768</v>
      </c>
      <c r="K181">
        <v>83.158299999999997</v>
      </c>
      <c r="L181" t="s">
        <v>273</v>
      </c>
      <c r="M181" t="s">
        <v>23</v>
      </c>
      <c r="N181" t="str">
        <f>IF(Cleanedtable[[#This Row],[Age]]&lt;18, "YES","NO")</f>
        <v>NO</v>
      </c>
      <c r="O181" t="str">
        <f>IF(Cleanedtable[[#This Row],[SIBLINGS/SPOUSES]]&gt;0,"YES","NO")</f>
        <v>NO</v>
      </c>
      <c r="P181" t="str">
        <f>IF(Cleanedtable[[#This Row],[Parch]]&gt;0,"YES","NO")</f>
        <v>YES</v>
      </c>
    </row>
    <row r="182" spans="1:16" x14ac:dyDescent="0.35">
      <c r="A182">
        <v>1072</v>
      </c>
      <c r="B182">
        <v>0</v>
      </c>
      <c r="C182">
        <v>2</v>
      </c>
      <c r="D182" t="s">
        <v>274</v>
      </c>
      <c r="E182" t="s">
        <v>11</v>
      </c>
      <c r="F182" t="str">
        <f>IF(Cleanedtable[[#This Row],[Age]]&lt;18,"TEEN",IF(Cleanedtable[[#This Row],[Age]]&lt;30,"YOUTH",IF(Cleanedtable[[#This Row],[Age]]&lt;=59,"ADULT",IF(Cleanedtable[[#This Row],[Age]]&gt;=60,"ELDER"))))</f>
        <v>ADULT</v>
      </c>
      <c r="G182">
        <v>30</v>
      </c>
      <c r="H182">
        <v>0</v>
      </c>
      <c r="I182">
        <v>0</v>
      </c>
      <c r="J182" t="s">
        <v>769</v>
      </c>
      <c r="K182">
        <v>13</v>
      </c>
      <c r="M182" t="s">
        <v>15</v>
      </c>
      <c r="N182" t="str">
        <f>IF(Cleanedtable[[#This Row],[Age]]&lt;18, "YES","NO")</f>
        <v>NO</v>
      </c>
      <c r="O182" t="str">
        <f>IF(Cleanedtable[[#This Row],[SIBLINGS/SPOUSES]]&gt;0,"YES","NO")</f>
        <v>NO</v>
      </c>
      <c r="P182" t="str">
        <f>IF(Cleanedtable[[#This Row],[Parch]]&gt;0,"YES","NO")</f>
        <v>NO</v>
      </c>
    </row>
    <row r="183" spans="1:16" x14ac:dyDescent="0.35">
      <c r="A183">
        <v>1073</v>
      </c>
      <c r="B183">
        <v>0</v>
      </c>
      <c r="C183">
        <v>1</v>
      </c>
      <c r="D183" t="s">
        <v>275</v>
      </c>
      <c r="E183" t="s">
        <v>11</v>
      </c>
      <c r="F183" t="str">
        <f>IF(Cleanedtable[[#This Row],[Age]]&lt;18,"TEEN",IF(Cleanedtable[[#This Row],[Age]]&lt;30,"YOUTH",IF(Cleanedtable[[#This Row],[Age]]&lt;=59,"ADULT",IF(Cleanedtable[[#This Row],[Age]]&gt;=60,"ELDER"))))</f>
        <v>ADULT</v>
      </c>
      <c r="G183">
        <v>37</v>
      </c>
      <c r="H183">
        <v>1</v>
      </c>
      <c r="I183">
        <v>1</v>
      </c>
      <c r="J183" t="s">
        <v>768</v>
      </c>
      <c r="K183">
        <v>83.158299999999997</v>
      </c>
      <c r="L183" t="s">
        <v>276</v>
      </c>
      <c r="M183" t="s">
        <v>23</v>
      </c>
      <c r="N183" t="str">
        <f>IF(Cleanedtable[[#This Row],[Age]]&lt;18, "YES","NO")</f>
        <v>NO</v>
      </c>
      <c r="O183" t="str">
        <f>IF(Cleanedtable[[#This Row],[SIBLINGS/SPOUSES]]&gt;0,"YES","NO")</f>
        <v>YES</v>
      </c>
      <c r="P183" t="str">
        <f>IF(Cleanedtable[[#This Row],[Parch]]&gt;0,"YES","NO")</f>
        <v>YES</v>
      </c>
    </row>
    <row r="184" spans="1:16" x14ac:dyDescent="0.35">
      <c r="A184">
        <v>1074</v>
      </c>
      <c r="B184">
        <v>1</v>
      </c>
      <c r="C184">
        <v>1</v>
      </c>
      <c r="D184" t="s">
        <v>277</v>
      </c>
      <c r="E184" t="s">
        <v>14</v>
      </c>
      <c r="F184" t="str">
        <f>IF(Cleanedtable[[#This Row],[Age]]&lt;18,"TEEN",IF(Cleanedtable[[#This Row],[Age]]&lt;30,"YOUTH",IF(Cleanedtable[[#This Row],[Age]]&lt;=59,"ADULT",IF(Cleanedtable[[#This Row],[Age]]&gt;=60,"ELDER"))))</f>
        <v>YOUTH</v>
      </c>
      <c r="G184">
        <v>18</v>
      </c>
      <c r="H184">
        <v>1</v>
      </c>
      <c r="I184">
        <v>0</v>
      </c>
      <c r="J184" t="s">
        <v>770</v>
      </c>
      <c r="K184">
        <v>53.1</v>
      </c>
      <c r="L184" t="s">
        <v>278</v>
      </c>
      <c r="M184" t="s">
        <v>15</v>
      </c>
      <c r="N184" t="str">
        <f>IF(Cleanedtable[[#This Row],[Age]]&lt;18, "YES","NO")</f>
        <v>NO</v>
      </c>
      <c r="O184" t="str">
        <f>IF(Cleanedtable[[#This Row],[SIBLINGS/SPOUSES]]&gt;0,"YES","NO")</f>
        <v>YES</v>
      </c>
      <c r="P184" t="str">
        <f>IF(Cleanedtable[[#This Row],[Parch]]&gt;0,"YES","NO")</f>
        <v>NO</v>
      </c>
    </row>
    <row r="185" spans="1:16" x14ac:dyDescent="0.35">
      <c r="A185">
        <v>1075</v>
      </c>
      <c r="B185">
        <v>0</v>
      </c>
      <c r="C185">
        <v>3</v>
      </c>
      <c r="D185" t="s">
        <v>279</v>
      </c>
      <c r="E185" t="s">
        <v>11</v>
      </c>
      <c r="F185" t="str">
        <f>IF(Cleanedtable[[#This Row],[Age]]&lt;18,"TEEN",IF(Cleanedtable[[#This Row],[Age]]&lt;30,"YOUTH",IF(Cleanedtable[[#This Row],[Age]]&lt;=59,"ADULT",IF(Cleanedtable[[#This Row],[Age]]&gt;=60,"ELDER"))))</f>
        <v>ADULT</v>
      </c>
      <c r="G185">
        <v>30.2</v>
      </c>
      <c r="H185">
        <v>0</v>
      </c>
      <c r="I185">
        <v>0</v>
      </c>
      <c r="J185" t="s">
        <v>771</v>
      </c>
      <c r="K185">
        <v>7.75</v>
      </c>
      <c r="M185" t="s">
        <v>12</v>
      </c>
      <c r="N185" t="str">
        <f>IF(Cleanedtable[[#This Row],[Age]]&lt;18, "YES","NO")</f>
        <v>NO</v>
      </c>
      <c r="O185" t="str">
        <f>IF(Cleanedtable[[#This Row],[SIBLINGS/SPOUSES]]&gt;0,"YES","NO")</f>
        <v>NO</v>
      </c>
      <c r="P185" t="str">
        <f>IF(Cleanedtable[[#This Row],[Parch]]&gt;0,"YES","NO")</f>
        <v>NO</v>
      </c>
    </row>
    <row r="186" spans="1:16" x14ac:dyDescent="0.35">
      <c r="A186">
        <v>1076</v>
      </c>
      <c r="B186">
        <v>1</v>
      </c>
      <c r="C186">
        <v>1</v>
      </c>
      <c r="D186" t="s">
        <v>280</v>
      </c>
      <c r="E186" t="s">
        <v>14</v>
      </c>
      <c r="F186" t="str">
        <f>IF(Cleanedtable[[#This Row],[Age]]&lt;18,"TEEN",IF(Cleanedtable[[#This Row],[Age]]&lt;30,"YOUTH",IF(Cleanedtable[[#This Row],[Age]]&lt;=59,"ADULT",IF(Cleanedtable[[#This Row],[Age]]&gt;=60,"ELDER"))))</f>
        <v>YOUTH</v>
      </c>
      <c r="G186">
        <v>27</v>
      </c>
      <c r="H186">
        <v>1</v>
      </c>
      <c r="I186">
        <v>1</v>
      </c>
      <c r="J186" t="s">
        <v>772</v>
      </c>
      <c r="K186">
        <v>247.52080000000001</v>
      </c>
      <c r="L186" t="s">
        <v>282</v>
      </c>
      <c r="M186" t="s">
        <v>23</v>
      </c>
      <c r="N186" t="str">
        <f>IF(Cleanedtable[[#This Row],[Age]]&lt;18, "YES","NO")</f>
        <v>NO</v>
      </c>
      <c r="O186" t="str">
        <f>IF(Cleanedtable[[#This Row],[SIBLINGS/SPOUSES]]&gt;0,"YES","NO")</f>
        <v>YES</v>
      </c>
      <c r="P186" t="str">
        <f>IF(Cleanedtable[[#This Row],[Parch]]&gt;0,"YES","NO")</f>
        <v>YES</v>
      </c>
    </row>
    <row r="187" spans="1:16" x14ac:dyDescent="0.35">
      <c r="A187">
        <v>1077</v>
      </c>
      <c r="B187">
        <v>0</v>
      </c>
      <c r="C187">
        <v>2</v>
      </c>
      <c r="D187" t="s">
        <v>283</v>
      </c>
      <c r="E187" t="s">
        <v>11</v>
      </c>
      <c r="F187" t="str">
        <f>IF(Cleanedtable[[#This Row],[Age]]&lt;18,"TEEN",IF(Cleanedtable[[#This Row],[Age]]&lt;30,"YOUTH",IF(Cleanedtable[[#This Row],[Age]]&lt;=59,"ADULT",IF(Cleanedtable[[#This Row],[Age]]&gt;=60,"ELDER"))))</f>
        <v>ADULT</v>
      </c>
      <c r="G187">
        <v>40</v>
      </c>
      <c r="H187">
        <v>0</v>
      </c>
      <c r="I187">
        <v>0</v>
      </c>
      <c r="J187" t="s">
        <v>773</v>
      </c>
      <c r="K187">
        <v>16</v>
      </c>
      <c r="M187" t="s">
        <v>15</v>
      </c>
      <c r="N187" t="str">
        <f>IF(Cleanedtable[[#This Row],[Age]]&lt;18, "YES","NO")</f>
        <v>NO</v>
      </c>
      <c r="O187" t="str">
        <f>IF(Cleanedtable[[#This Row],[SIBLINGS/SPOUSES]]&gt;0,"YES","NO")</f>
        <v>NO</v>
      </c>
      <c r="P187" t="str">
        <f>IF(Cleanedtable[[#This Row],[Parch]]&gt;0,"YES","NO")</f>
        <v>NO</v>
      </c>
    </row>
    <row r="188" spans="1:16" x14ac:dyDescent="0.35">
      <c r="A188">
        <v>1078</v>
      </c>
      <c r="B188">
        <v>1</v>
      </c>
      <c r="C188">
        <v>2</v>
      </c>
      <c r="D188" t="s">
        <v>284</v>
      </c>
      <c r="E188" t="s">
        <v>14</v>
      </c>
      <c r="F188" t="str">
        <f>IF(Cleanedtable[[#This Row],[Age]]&lt;18,"TEEN",IF(Cleanedtable[[#This Row],[Age]]&lt;30,"YOUTH",IF(Cleanedtable[[#This Row],[Age]]&lt;=59,"ADULT",IF(Cleanedtable[[#This Row],[Age]]&gt;=60,"ELDER"))))</f>
        <v>YOUTH</v>
      </c>
      <c r="G188">
        <v>21</v>
      </c>
      <c r="H188">
        <v>0</v>
      </c>
      <c r="I188">
        <v>1</v>
      </c>
      <c r="J188" t="s">
        <v>285</v>
      </c>
      <c r="K188">
        <v>21</v>
      </c>
      <c r="M188" t="s">
        <v>15</v>
      </c>
      <c r="N188" t="str">
        <f>IF(Cleanedtable[[#This Row],[Age]]&lt;18, "YES","NO")</f>
        <v>NO</v>
      </c>
      <c r="O188" t="str">
        <f>IF(Cleanedtable[[#This Row],[SIBLINGS/SPOUSES]]&gt;0,"YES","NO")</f>
        <v>NO</v>
      </c>
      <c r="P188" t="str">
        <f>IF(Cleanedtable[[#This Row],[Parch]]&gt;0,"YES","NO")</f>
        <v>YES</v>
      </c>
    </row>
    <row r="189" spans="1:16" x14ac:dyDescent="0.35">
      <c r="A189">
        <v>1079</v>
      </c>
      <c r="B189">
        <v>0</v>
      </c>
      <c r="C189">
        <v>3</v>
      </c>
      <c r="D189" t="s">
        <v>286</v>
      </c>
      <c r="E189" t="s">
        <v>11</v>
      </c>
      <c r="F189" t="str">
        <f>IF(Cleanedtable[[#This Row],[Age]]&lt;18,"TEEN",IF(Cleanedtable[[#This Row],[Age]]&lt;30,"YOUTH",IF(Cleanedtable[[#This Row],[Age]]&lt;=59,"ADULT",IF(Cleanedtable[[#This Row],[Age]]&gt;=60,"ELDER"))))</f>
        <v>TEEN</v>
      </c>
      <c r="G189">
        <v>17</v>
      </c>
      <c r="H189">
        <v>2</v>
      </c>
      <c r="I189">
        <v>0</v>
      </c>
      <c r="J189" t="s">
        <v>287</v>
      </c>
      <c r="K189">
        <v>8.0500000000000007</v>
      </c>
      <c r="M189" t="s">
        <v>15</v>
      </c>
      <c r="N189" t="str">
        <f>IF(Cleanedtable[[#This Row],[Age]]&lt;18, "YES","NO")</f>
        <v>YES</v>
      </c>
      <c r="O189" t="str">
        <f>IF(Cleanedtable[[#This Row],[SIBLINGS/SPOUSES]]&gt;0,"YES","NO")</f>
        <v>YES</v>
      </c>
      <c r="P189" t="str">
        <f>IF(Cleanedtable[[#This Row],[Parch]]&gt;0,"YES","NO")</f>
        <v>NO</v>
      </c>
    </row>
    <row r="190" spans="1:16" x14ac:dyDescent="0.35">
      <c r="A190">
        <v>1080</v>
      </c>
      <c r="B190">
        <v>1</v>
      </c>
      <c r="C190">
        <v>3</v>
      </c>
      <c r="D190" t="s">
        <v>288</v>
      </c>
      <c r="E190" t="s">
        <v>14</v>
      </c>
      <c r="F190" t="str">
        <f>IF(Cleanedtable[[#This Row],[Age]]&lt;18,"TEEN",IF(Cleanedtable[[#This Row],[Age]]&lt;30,"YOUTH",IF(Cleanedtable[[#This Row],[Age]]&lt;=59,"ADULT",IF(Cleanedtable[[#This Row],[Age]]&gt;=60,"ELDER"))))</f>
        <v>ADULT</v>
      </c>
      <c r="G190">
        <v>30.2</v>
      </c>
      <c r="H190">
        <v>8</v>
      </c>
      <c r="I190">
        <v>2</v>
      </c>
      <c r="J190" t="s">
        <v>774</v>
      </c>
      <c r="K190">
        <v>69.55</v>
      </c>
      <c r="M190" t="s">
        <v>15</v>
      </c>
      <c r="N190" t="str">
        <f>IF(Cleanedtable[[#This Row],[Age]]&lt;18, "YES","NO")</f>
        <v>NO</v>
      </c>
      <c r="O190" t="str">
        <f>IF(Cleanedtable[[#This Row],[SIBLINGS/SPOUSES]]&gt;0,"YES","NO")</f>
        <v>YES</v>
      </c>
      <c r="P190" t="str">
        <f>IF(Cleanedtable[[#This Row],[Parch]]&gt;0,"YES","NO")</f>
        <v>YES</v>
      </c>
    </row>
    <row r="191" spans="1:16" x14ac:dyDescent="0.35">
      <c r="A191">
        <v>1081</v>
      </c>
      <c r="B191">
        <v>0</v>
      </c>
      <c r="C191">
        <v>2</v>
      </c>
      <c r="D191" t="s">
        <v>290</v>
      </c>
      <c r="E191" t="s">
        <v>11</v>
      </c>
      <c r="F191" t="str">
        <f>IF(Cleanedtable[[#This Row],[Age]]&lt;18,"TEEN",IF(Cleanedtable[[#This Row],[Age]]&lt;30,"YOUTH",IF(Cleanedtable[[#This Row],[Age]]&lt;=59,"ADULT",IF(Cleanedtable[[#This Row],[Age]]&gt;=60,"ELDER"))))</f>
        <v>ADULT</v>
      </c>
      <c r="G191">
        <v>40</v>
      </c>
      <c r="H191">
        <v>0</v>
      </c>
      <c r="I191">
        <v>0</v>
      </c>
      <c r="J191" t="s">
        <v>775</v>
      </c>
      <c r="K191">
        <v>13</v>
      </c>
      <c r="M191" t="s">
        <v>15</v>
      </c>
      <c r="N191" t="str">
        <f>IF(Cleanedtable[[#This Row],[Age]]&lt;18, "YES","NO")</f>
        <v>NO</v>
      </c>
      <c r="O191" t="str">
        <f>IF(Cleanedtable[[#This Row],[SIBLINGS/SPOUSES]]&gt;0,"YES","NO")</f>
        <v>NO</v>
      </c>
      <c r="P191" t="str">
        <f>IF(Cleanedtable[[#This Row],[Parch]]&gt;0,"YES","NO")</f>
        <v>NO</v>
      </c>
    </row>
    <row r="192" spans="1:16" x14ac:dyDescent="0.35">
      <c r="A192">
        <v>1082</v>
      </c>
      <c r="B192">
        <v>0</v>
      </c>
      <c r="C192">
        <v>2</v>
      </c>
      <c r="D192" t="s">
        <v>291</v>
      </c>
      <c r="E192" t="s">
        <v>11</v>
      </c>
      <c r="F192" t="str">
        <f>IF(Cleanedtable[[#This Row],[Age]]&lt;18,"TEEN",IF(Cleanedtable[[#This Row],[Age]]&lt;30,"YOUTH",IF(Cleanedtable[[#This Row],[Age]]&lt;=59,"ADULT",IF(Cleanedtable[[#This Row],[Age]]&gt;=60,"ELDER"))))</f>
        <v>ADULT</v>
      </c>
      <c r="G192">
        <v>34</v>
      </c>
      <c r="H192">
        <v>1</v>
      </c>
      <c r="I192">
        <v>0</v>
      </c>
      <c r="J192" t="s">
        <v>776</v>
      </c>
      <c r="K192">
        <v>26</v>
      </c>
      <c r="M192" t="s">
        <v>15</v>
      </c>
      <c r="N192" t="str">
        <f>IF(Cleanedtable[[#This Row],[Age]]&lt;18, "YES","NO")</f>
        <v>NO</v>
      </c>
      <c r="O192" t="str">
        <f>IF(Cleanedtable[[#This Row],[SIBLINGS/SPOUSES]]&gt;0,"YES","NO")</f>
        <v>YES</v>
      </c>
      <c r="P192" t="str">
        <f>IF(Cleanedtable[[#This Row],[Parch]]&gt;0,"YES","NO")</f>
        <v>NO</v>
      </c>
    </row>
    <row r="193" spans="1:16" x14ac:dyDescent="0.35">
      <c r="A193">
        <v>1083</v>
      </c>
      <c r="B193">
        <v>0</v>
      </c>
      <c r="C193">
        <v>1</v>
      </c>
      <c r="D193" t="s">
        <v>292</v>
      </c>
      <c r="E193" t="s">
        <v>11</v>
      </c>
      <c r="F193" t="str">
        <f>IF(Cleanedtable[[#This Row],[Age]]&lt;18,"TEEN",IF(Cleanedtable[[#This Row],[Age]]&lt;30,"YOUTH",IF(Cleanedtable[[#This Row],[Age]]&lt;=59,"ADULT",IF(Cleanedtable[[#This Row],[Age]]&gt;=60,"ELDER"))))</f>
        <v>ADULT</v>
      </c>
      <c r="G193">
        <v>30.2</v>
      </c>
      <c r="H193">
        <v>0</v>
      </c>
      <c r="I193">
        <v>0</v>
      </c>
      <c r="J193" t="s">
        <v>777</v>
      </c>
      <c r="K193">
        <v>26</v>
      </c>
      <c r="M193" t="s">
        <v>15</v>
      </c>
      <c r="N193" t="str">
        <f>IF(Cleanedtable[[#This Row],[Age]]&lt;18, "YES","NO")</f>
        <v>NO</v>
      </c>
      <c r="O193" t="str">
        <f>IF(Cleanedtable[[#This Row],[SIBLINGS/SPOUSES]]&gt;0,"YES","NO")</f>
        <v>NO</v>
      </c>
      <c r="P193" t="str">
        <f>IF(Cleanedtable[[#This Row],[Parch]]&gt;0,"YES","NO")</f>
        <v>NO</v>
      </c>
    </row>
    <row r="194" spans="1:16" x14ac:dyDescent="0.35">
      <c r="A194">
        <v>1084</v>
      </c>
      <c r="B194">
        <v>0</v>
      </c>
      <c r="C194">
        <v>3</v>
      </c>
      <c r="D194" t="s">
        <v>293</v>
      </c>
      <c r="E194" t="s">
        <v>11</v>
      </c>
      <c r="F194" t="str">
        <f>IF(Cleanedtable[[#This Row],[Age]]&lt;18,"TEEN",IF(Cleanedtable[[#This Row],[Age]]&lt;30,"YOUTH",IF(Cleanedtable[[#This Row],[Age]]&lt;=59,"ADULT",IF(Cleanedtable[[#This Row],[Age]]&gt;=60,"ELDER"))))</f>
        <v>TEEN</v>
      </c>
      <c r="G194">
        <v>11.5</v>
      </c>
      <c r="H194">
        <v>1</v>
      </c>
      <c r="I194">
        <v>1</v>
      </c>
      <c r="J194" t="s">
        <v>294</v>
      </c>
      <c r="K194">
        <v>14.5</v>
      </c>
      <c r="M194" t="s">
        <v>15</v>
      </c>
      <c r="N194" t="str">
        <f>IF(Cleanedtable[[#This Row],[Age]]&lt;18, "YES","NO")</f>
        <v>YES</v>
      </c>
      <c r="O194" t="str">
        <f>IF(Cleanedtable[[#This Row],[SIBLINGS/SPOUSES]]&gt;0,"YES","NO")</f>
        <v>YES</v>
      </c>
      <c r="P194" t="str">
        <f>IF(Cleanedtable[[#This Row],[Parch]]&gt;0,"YES","NO")</f>
        <v>YES</v>
      </c>
    </row>
    <row r="195" spans="1:16" x14ac:dyDescent="0.35">
      <c r="A195">
        <v>1085</v>
      </c>
      <c r="B195">
        <v>0</v>
      </c>
      <c r="C195">
        <v>2</v>
      </c>
      <c r="D195" t="s">
        <v>295</v>
      </c>
      <c r="E195" t="s">
        <v>11</v>
      </c>
      <c r="F195" t="str">
        <f>IF(Cleanedtable[[#This Row],[Age]]&lt;18,"TEEN",IF(Cleanedtable[[#This Row],[Age]]&lt;30,"YOUTH",IF(Cleanedtable[[#This Row],[Age]]&lt;=59,"ADULT",IF(Cleanedtable[[#This Row],[Age]]&gt;=60,"ELDER"))))</f>
        <v>ELDER</v>
      </c>
      <c r="G195">
        <v>61</v>
      </c>
      <c r="H195">
        <v>0</v>
      </c>
      <c r="I195">
        <v>0</v>
      </c>
      <c r="J195" t="s">
        <v>778</v>
      </c>
      <c r="K195">
        <v>12.35</v>
      </c>
      <c r="M195" t="s">
        <v>12</v>
      </c>
      <c r="N195" t="str">
        <f>IF(Cleanedtable[[#This Row],[Age]]&lt;18, "YES","NO")</f>
        <v>NO</v>
      </c>
      <c r="O195" t="str">
        <f>IF(Cleanedtable[[#This Row],[SIBLINGS/SPOUSES]]&gt;0,"YES","NO")</f>
        <v>NO</v>
      </c>
      <c r="P195" t="str">
        <f>IF(Cleanedtable[[#This Row],[Parch]]&gt;0,"YES","NO")</f>
        <v>NO</v>
      </c>
    </row>
    <row r="196" spans="1:16" x14ac:dyDescent="0.35">
      <c r="A196">
        <v>1086</v>
      </c>
      <c r="B196">
        <v>0</v>
      </c>
      <c r="C196">
        <v>2</v>
      </c>
      <c r="D196" t="s">
        <v>296</v>
      </c>
      <c r="E196" t="s">
        <v>11</v>
      </c>
      <c r="F196" t="str">
        <f>IF(Cleanedtable[[#This Row],[Age]]&lt;18,"TEEN",IF(Cleanedtable[[#This Row],[Age]]&lt;30,"YOUTH",IF(Cleanedtable[[#This Row],[Age]]&lt;=59,"ADULT",IF(Cleanedtable[[#This Row],[Age]]&gt;=60,"ELDER"))))</f>
        <v>TEEN</v>
      </c>
      <c r="G196">
        <v>8</v>
      </c>
      <c r="H196">
        <v>0</v>
      </c>
      <c r="I196">
        <v>2</v>
      </c>
      <c r="J196" t="s">
        <v>779</v>
      </c>
      <c r="K196">
        <v>32.5</v>
      </c>
      <c r="M196" t="s">
        <v>15</v>
      </c>
      <c r="N196" t="str">
        <f>IF(Cleanedtable[[#This Row],[Age]]&lt;18, "YES","NO")</f>
        <v>YES</v>
      </c>
      <c r="O196" t="str">
        <f>IF(Cleanedtable[[#This Row],[SIBLINGS/SPOUSES]]&gt;0,"YES","NO")</f>
        <v>NO</v>
      </c>
      <c r="P196" t="str">
        <f>IF(Cleanedtable[[#This Row],[Parch]]&gt;0,"YES","NO")</f>
        <v>YES</v>
      </c>
    </row>
    <row r="197" spans="1:16" x14ac:dyDescent="0.35">
      <c r="A197">
        <v>1087</v>
      </c>
      <c r="B197">
        <v>0</v>
      </c>
      <c r="C197">
        <v>3</v>
      </c>
      <c r="D197" t="s">
        <v>297</v>
      </c>
      <c r="E197" t="s">
        <v>11</v>
      </c>
      <c r="F197" t="str">
        <f>IF(Cleanedtable[[#This Row],[Age]]&lt;18,"TEEN",IF(Cleanedtable[[#This Row],[Age]]&lt;30,"YOUTH",IF(Cleanedtable[[#This Row],[Age]]&lt;=59,"ADULT",IF(Cleanedtable[[#This Row],[Age]]&gt;=60,"ELDER"))))</f>
        <v>ADULT</v>
      </c>
      <c r="G197">
        <v>33</v>
      </c>
      <c r="H197">
        <v>0</v>
      </c>
      <c r="I197">
        <v>0</v>
      </c>
      <c r="J197" t="s">
        <v>780</v>
      </c>
      <c r="K197">
        <v>7.8541999999999996</v>
      </c>
      <c r="M197" t="s">
        <v>15</v>
      </c>
      <c r="N197" t="str">
        <f>IF(Cleanedtable[[#This Row],[Age]]&lt;18, "YES","NO")</f>
        <v>NO</v>
      </c>
      <c r="O197" t="str">
        <f>IF(Cleanedtable[[#This Row],[SIBLINGS/SPOUSES]]&gt;0,"YES","NO")</f>
        <v>NO</v>
      </c>
      <c r="P197" t="str">
        <f>IF(Cleanedtable[[#This Row],[Parch]]&gt;0,"YES","NO")</f>
        <v>NO</v>
      </c>
    </row>
    <row r="198" spans="1:16" x14ac:dyDescent="0.35">
      <c r="A198">
        <v>1088</v>
      </c>
      <c r="B198">
        <v>0</v>
      </c>
      <c r="C198">
        <v>1</v>
      </c>
      <c r="D198" t="s">
        <v>298</v>
      </c>
      <c r="E198" t="s">
        <v>11</v>
      </c>
      <c r="F198" t="str">
        <f>IF(Cleanedtable[[#This Row],[Age]]&lt;18,"TEEN",IF(Cleanedtable[[#This Row],[Age]]&lt;30,"YOUTH",IF(Cleanedtable[[#This Row],[Age]]&lt;=59,"ADULT",IF(Cleanedtable[[#This Row],[Age]]&gt;=60,"ELDER"))))</f>
        <v>TEEN</v>
      </c>
      <c r="G198">
        <v>6</v>
      </c>
      <c r="H198">
        <v>0</v>
      </c>
      <c r="I198">
        <v>2</v>
      </c>
      <c r="J198" t="s">
        <v>781</v>
      </c>
      <c r="K198">
        <v>134.5</v>
      </c>
      <c r="L198" t="s">
        <v>299</v>
      </c>
      <c r="M198" t="s">
        <v>23</v>
      </c>
      <c r="N198" t="str">
        <f>IF(Cleanedtable[[#This Row],[Age]]&lt;18, "YES","NO")</f>
        <v>YES</v>
      </c>
      <c r="O198" t="str">
        <f>IF(Cleanedtable[[#This Row],[SIBLINGS/SPOUSES]]&gt;0,"YES","NO")</f>
        <v>NO</v>
      </c>
      <c r="P198" t="str">
        <f>IF(Cleanedtable[[#This Row],[Parch]]&gt;0,"YES","NO")</f>
        <v>YES</v>
      </c>
    </row>
    <row r="199" spans="1:16" x14ac:dyDescent="0.35">
      <c r="A199">
        <v>1089</v>
      </c>
      <c r="B199">
        <v>1</v>
      </c>
      <c r="C199">
        <v>3</v>
      </c>
      <c r="D199" t="s">
        <v>300</v>
      </c>
      <c r="E199" t="s">
        <v>14</v>
      </c>
      <c r="F199" t="str">
        <f>IF(Cleanedtable[[#This Row],[Age]]&lt;18,"TEEN",IF(Cleanedtable[[#This Row],[Age]]&lt;30,"YOUTH",IF(Cleanedtable[[#This Row],[Age]]&lt;=59,"ADULT",IF(Cleanedtable[[#This Row],[Age]]&gt;=60,"ELDER"))))</f>
        <v>YOUTH</v>
      </c>
      <c r="G199">
        <v>18</v>
      </c>
      <c r="H199">
        <v>0</v>
      </c>
      <c r="I199">
        <v>0</v>
      </c>
      <c r="J199" t="s">
        <v>782</v>
      </c>
      <c r="K199">
        <v>7.7750000000000004</v>
      </c>
      <c r="M199" t="s">
        <v>15</v>
      </c>
      <c r="N199" t="str">
        <f>IF(Cleanedtable[[#This Row],[Age]]&lt;18, "YES","NO")</f>
        <v>NO</v>
      </c>
      <c r="O199" t="str">
        <f>IF(Cleanedtable[[#This Row],[SIBLINGS/SPOUSES]]&gt;0,"YES","NO")</f>
        <v>NO</v>
      </c>
      <c r="P199" t="str">
        <f>IF(Cleanedtable[[#This Row],[Parch]]&gt;0,"YES","NO")</f>
        <v>NO</v>
      </c>
    </row>
    <row r="200" spans="1:16" x14ac:dyDescent="0.35">
      <c r="A200">
        <v>1090</v>
      </c>
      <c r="B200">
        <v>0</v>
      </c>
      <c r="C200">
        <v>2</v>
      </c>
      <c r="D200" t="s">
        <v>301</v>
      </c>
      <c r="E200" t="s">
        <v>11</v>
      </c>
      <c r="F200" t="str">
        <f>IF(Cleanedtable[[#This Row],[Age]]&lt;18,"TEEN",IF(Cleanedtable[[#This Row],[Age]]&lt;30,"YOUTH",IF(Cleanedtable[[#This Row],[Age]]&lt;=59,"ADULT",IF(Cleanedtable[[#This Row],[Age]]&gt;=60,"ELDER"))))</f>
        <v>YOUTH</v>
      </c>
      <c r="G200">
        <v>23</v>
      </c>
      <c r="H200">
        <v>0</v>
      </c>
      <c r="I200">
        <v>0</v>
      </c>
      <c r="J200" t="s">
        <v>302</v>
      </c>
      <c r="K200">
        <v>10.5</v>
      </c>
      <c r="M200" t="s">
        <v>15</v>
      </c>
      <c r="N200" t="str">
        <f>IF(Cleanedtable[[#This Row],[Age]]&lt;18, "YES","NO")</f>
        <v>NO</v>
      </c>
      <c r="O200" t="str">
        <f>IF(Cleanedtable[[#This Row],[SIBLINGS/SPOUSES]]&gt;0,"YES","NO")</f>
        <v>NO</v>
      </c>
      <c r="P200" t="str">
        <f>IF(Cleanedtable[[#This Row],[Parch]]&gt;0,"YES","NO")</f>
        <v>NO</v>
      </c>
    </row>
    <row r="201" spans="1:16" x14ac:dyDescent="0.35">
      <c r="A201">
        <v>1091</v>
      </c>
      <c r="B201">
        <v>1</v>
      </c>
      <c r="C201">
        <v>3</v>
      </c>
      <c r="D201" t="s">
        <v>303</v>
      </c>
      <c r="E201" t="s">
        <v>14</v>
      </c>
      <c r="F201" t="str">
        <f>IF(Cleanedtable[[#This Row],[Age]]&lt;18,"TEEN",IF(Cleanedtable[[#This Row],[Age]]&lt;30,"YOUTH",IF(Cleanedtable[[#This Row],[Age]]&lt;=59,"ADULT",IF(Cleanedtable[[#This Row],[Age]]&gt;=60,"ELDER"))))</f>
        <v>ADULT</v>
      </c>
      <c r="G201">
        <v>30.2</v>
      </c>
      <c r="H201">
        <v>0</v>
      </c>
      <c r="I201">
        <v>0</v>
      </c>
      <c r="J201" t="s">
        <v>783</v>
      </c>
      <c r="K201">
        <v>8.1125000000000007</v>
      </c>
      <c r="M201" t="s">
        <v>15</v>
      </c>
      <c r="N201" t="str">
        <f>IF(Cleanedtable[[#This Row],[Age]]&lt;18, "YES","NO")</f>
        <v>NO</v>
      </c>
      <c r="O201" t="str">
        <f>IF(Cleanedtable[[#This Row],[SIBLINGS/SPOUSES]]&gt;0,"YES","NO")</f>
        <v>NO</v>
      </c>
      <c r="P201" t="str">
        <f>IF(Cleanedtable[[#This Row],[Parch]]&gt;0,"YES","NO")</f>
        <v>NO</v>
      </c>
    </row>
    <row r="202" spans="1:16" x14ac:dyDescent="0.35">
      <c r="A202">
        <v>1092</v>
      </c>
      <c r="B202">
        <v>1</v>
      </c>
      <c r="C202">
        <v>3</v>
      </c>
      <c r="D202" t="s">
        <v>304</v>
      </c>
      <c r="E202" t="s">
        <v>14</v>
      </c>
      <c r="F202" t="str">
        <f>IF(Cleanedtable[[#This Row],[Age]]&lt;18,"TEEN",IF(Cleanedtable[[#This Row],[Age]]&lt;30,"YOUTH",IF(Cleanedtable[[#This Row],[Age]]&lt;=59,"ADULT",IF(Cleanedtable[[#This Row],[Age]]&gt;=60,"ELDER"))))</f>
        <v>ADULT</v>
      </c>
      <c r="G202">
        <v>30.2</v>
      </c>
      <c r="H202">
        <v>0</v>
      </c>
      <c r="I202">
        <v>0</v>
      </c>
      <c r="J202" t="s">
        <v>784</v>
      </c>
      <c r="K202">
        <v>15.5</v>
      </c>
      <c r="M202" t="s">
        <v>12</v>
      </c>
      <c r="N202" t="str">
        <f>IF(Cleanedtable[[#This Row],[Age]]&lt;18, "YES","NO")</f>
        <v>NO</v>
      </c>
      <c r="O202" t="str">
        <f>IF(Cleanedtable[[#This Row],[SIBLINGS/SPOUSES]]&gt;0,"YES","NO")</f>
        <v>NO</v>
      </c>
      <c r="P202" t="str">
        <f>IF(Cleanedtable[[#This Row],[Parch]]&gt;0,"YES","NO")</f>
        <v>NO</v>
      </c>
    </row>
    <row r="203" spans="1:16" x14ac:dyDescent="0.35">
      <c r="A203">
        <v>1093</v>
      </c>
      <c r="B203">
        <v>0</v>
      </c>
      <c r="C203">
        <v>3</v>
      </c>
      <c r="D203" t="s">
        <v>305</v>
      </c>
      <c r="E203" t="s">
        <v>11</v>
      </c>
      <c r="F203" t="str">
        <f>IF(Cleanedtable[[#This Row],[Age]]&lt;18,"TEEN",IF(Cleanedtable[[#This Row],[Age]]&lt;30,"YOUTH",IF(Cleanedtable[[#This Row],[Age]]&lt;=59,"ADULT",IF(Cleanedtable[[#This Row],[Age]]&gt;=60,"ELDER"))))</f>
        <v>TEEN</v>
      </c>
      <c r="G203">
        <v>0.33</v>
      </c>
      <c r="H203">
        <v>0</v>
      </c>
      <c r="I203">
        <v>2</v>
      </c>
      <c r="J203" t="s">
        <v>785</v>
      </c>
      <c r="K203">
        <v>14.4</v>
      </c>
      <c r="M203" t="s">
        <v>15</v>
      </c>
      <c r="N203" t="str">
        <f>IF(Cleanedtable[[#This Row],[Age]]&lt;18, "YES","NO")</f>
        <v>YES</v>
      </c>
      <c r="O203" t="str">
        <f>IF(Cleanedtable[[#This Row],[SIBLINGS/SPOUSES]]&gt;0,"YES","NO")</f>
        <v>NO</v>
      </c>
      <c r="P203" t="str">
        <f>IF(Cleanedtable[[#This Row],[Parch]]&gt;0,"YES","NO")</f>
        <v>YES</v>
      </c>
    </row>
    <row r="204" spans="1:16" x14ac:dyDescent="0.35">
      <c r="A204">
        <v>1094</v>
      </c>
      <c r="B204">
        <v>0</v>
      </c>
      <c r="C204">
        <v>1</v>
      </c>
      <c r="D204" t="s">
        <v>306</v>
      </c>
      <c r="E204" t="s">
        <v>11</v>
      </c>
      <c r="F204" t="str">
        <f>IF(Cleanedtable[[#This Row],[Age]]&lt;18,"TEEN",IF(Cleanedtable[[#This Row],[Age]]&lt;30,"YOUTH",IF(Cleanedtable[[#This Row],[Age]]&lt;=59,"ADULT",IF(Cleanedtable[[#This Row],[Age]]&gt;=60,"ELDER"))))</f>
        <v>ADULT</v>
      </c>
      <c r="G204">
        <v>47</v>
      </c>
      <c r="H204">
        <v>1</v>
      </c>
      <c r="I204">
        <v>0</v>
      </c>
      <c r="J204" t="s">
        <v>786</v>
      </c>
      <c r="K204">
        <v>227.52500000000001</v>
      </c>
      <c r="L204" t="s">
        <v>308</v>
      </c>
      <c r="M204" t="s">
        <v>23</v>
      </c>
      <c r="N204" t="str">
        <f>IF(Cleanedtable[[#This Row],[Age]]&lt;18, "YES","NO")</f>
        <v>NO</v>
      </c>
      <c r="O204" t="str">
        <f>IF(Cleanedtable[[#This Row],[SIBLINGS/SPOUSES]]&gt;0,"YES","NO")</f>
        <v>YES</v>
      </c>
      <c r="P204" t="str">
        <f>IF(Cleanedtable[[#This Row],[Parch]]&gt;0,"YES","NO")</f>
        <v>NO</v>
      </c>
    </row>
    <row r="205" spans="1:16" x14ac:dyDescent="0.35">
      <c r="A205">
        <v>1095</v>
      </c>
      <c r="B205">
        <v>1</v>
      </c>
      <c r="C205">
        <v>2</v>
      </c>
      <c r="D205" t="s">
        <v>309</v>
      </c>
      <c r="E205" t="s">
        <v>14</v>
      </c>
      <c r="F205" t="str">
        <f>IF(Cleanedtable[[#This Row],[Age]]&lt;18,"TEEN",IF(Cleanedtable[[#This Row],[Age]]&lt;30,"YOUTH",IF(Cleanedtable[[#This Row],[Age]]&lt;=59,"ADULT",IF(Cleanedtable[[#This Row],[Age]]&gt;=60,"ELDER"))))</f>
        <v>TEEN</v>
      </c>
      <c r="G205">
        <v>8</v>
      </c>
      <c r="H205">
        <v>1</v>
      </c>
      <c r="I205">
        <v>1</v>
      </c>
      <c r="J205" t="s">
        <v>787</v>
      </c>
      <c r="K205">
        <v>26</v>
      </c>
      <c r="M205" t="s">
        <v>15</v>
      </c>
      <c r="N205" t="str">
        <f>IF(Cleanedtable[[#This Row],[Age]]&lt;18, "YES","NO")</f>
        <v>YES</v>
      </c>
      <c r="O205" t="str">
        <f>IF(Cleanedtable[[#This Row],[SIBLINGS/SPOUSES]]&gt;0,"YES","NO")</f>
        <v>YES</v>
      </c>
      <c r="P205" t="str">
        <f>IF(Cleanedtable[[#This Row],[Parch]]&gt;0,"YES","NO")</f>
        <v>YES</v>
      </c>
    </row>
    <row r="206" spans="1:16" x14ac:dyDescent="0.35">
      <c r="A206">
        <v>1096</v>
      </c>
      <c r="B206">
        <v>0</v>
      </c>
      <c r="C206">
        <v>2</v>
      </c>
      <c r="D206" t="s">
        <v>310</v>
      </c>
      <c r="E206" t="s">
        <v>11</v>
      </c>
      <c r="F206" t="str">
        <f>IF(Cleanedtable[[#This Row],[Age]]&lt;18,"TEEN",IF(Cleanedtable[[#This Row],[Age]]&lt;30,"YOUTH",IF(Cleanedtable[[#This Row],[Age]]&lt;=59,"ADULT",IF(Cleanedtable[[#This Row],[Age]]&gt;=60,"ELDER"))))</f>
        <v>YOUTH</v>
      </c>
      <c r="G206">
        <v>25</v>
      </c>
      <c r="H206">
        <v>0</v>
      </c>
      <c r="I206">
        <v>0</v>
      </c>
      <c r="J206" t="s">
        <v>311</v>
      </c>
      <c r="K206">
        <v>10.5</v>
      </c>
      <c r="M206" t="s">
        <v>15</v>
      </c>
      <c r="N206" t="str">
        <f>IF(Cleanedtable[[#This Row],[Age]]&lt;18, "YES","NO")</f>
        <v>NO</v>
      </c>
      <c r="O206" t="str">
        <f>IF(Cleanedtable[[#This Row],[SIBLINGS/SPOUSES]]&gt;0,"YES","NO")</f>
        <v>NO</v>
      </c>
      <c r="P206" t="str">
        <f>IF(Cleanedtable[[#This Row],[Parch]]&gt;0,"YES","NO")</f>
        <v>NO</v>
      </c>
    </row>
    <row r="207" spans="1:16" x14ac:dyDescent="0.35">
      <c r="A207">
        <v>1097</v>
      </c>
      <c r="B207">
        <v>0</v>
      </c>
      <c r="C207">
        <v>1</v>
      </c>
      <c r="D207" t="s">
        <v>312</v>
      </c>
      <c r="E207" t="s">
        <v>11</v>
      </c>
      <c r="F207" t="str">
        <f>IF(Cleanedtable[[#This Row],[Age]]&lt;18,"TEEN",IF(Cleanedtable[[#This Row],[Age]]&lt;30,"YOUTH",IF(Cleanedtable[[#This Row],[Age]]&lt;=59,"ADULT",IF(Cleanedtable[[#This Row],[Age]]&gt;=60,"ELDER"))))</f>
        <v>ADULT</v>
      </c>
      <c r="G207">
        <v>30.2</v>
      </c>
      <c r="H207">
        <v>0</v>
      </c>
      <c r="I207">
        <v>0</v>
      </c>
      <c r="J207" t="s">
        <v>313</v>
      </c>
      <c r="K207">
        <v>25.741700000000002</v>
      </c>
      <c r="M207" t="s">
        <v>23</v>
      </c>
      <c r="N207" t="str">
        <f>IF(Cleanedtable[[#This Row],[Age]]&lt;18, "YES","NO")</f>
        <v>NO</v>
      </c>
      <c r="O207" t="str">
        <f>IF(Cleanedtable[[#This Row],[SIBLINGS/SPOUSES]]&gt;0,"YES","NO")</f>
        <v>NO</v>
      </c>
      <c r="P207" t="str">
        <f>IF(Cleanedtable[[#This Row],[Parch]]&gt;0,"YES","NO")</f>
        <v>NO</v>
      </c>
    </row>
    <row r="208" spans="1:16" x14ac:dyDescent="0.35">
      <c r="A208">
        <v>1098</v>
      </c>
      <c r="B208">
        <v>1</v>
      </c>
      <c r="C208">
        <v>3</v>
      </c>
      <c r="D208" t="s">
        <v>314</v>
      </c>
      <c r="E208" t="s">
        <v>14</v>
      </c>
      <c r="F208" t="str">
        <f>IF(Cleanedtable[[#This Row],[Age]]&lt;18,"TEEN",IF(Cleanedtable[[#This Row],[Age]]&lt;30,"YOUTH",IF(Cleanedtable[[#This Row],[Age]]&lt;=59,"ADULT",IF(Cleanedtable[[#This Row],[Age]]&gt;=60,"ELDER"))))</f>
        <v>ADULT</v>
      </c>
      <c r="G208">
        <v>35</v>
      </c>
      <c r="H208">
        <v>0</v>
      </c>
      <c r="I208">
        <v>0</v>
      </c>
      <c r="J208" t="s">
        <v>788</v>
      </c>
      <c r="K208">
        <v>7.75</v>
      </c>
      <c r="M208" t="s">
        <v>12</v>
      </c>
      <c r="N208" t="str">
        <f>IF(Cleanedtable[[#This Row],[Age]]&lt;18, "YES","NO")</f>
        <v>NO</v>
      </c>
      <c r="O208" t="str">
        <f>IF(Cleanedtable[[#This Row],[SIBLINGS/SPOUSES]]&gt;0,"YES","NO")</f>
        <v>NO</v>
      </c>
      <c r="P208" t="str">
        <f>IF(Cleanedtable[[#This Row],[Parch]]&gt;0,"YES","NO")</f>
        <v>NO</v>
      </c>
    </row>
    <row r="209" spans="1:16" x14ac:dyDescent="0.35">
      <c r="A209">
        <v>1099</v>
      </c>
      <c r="B209">
        <v>0</v>
      </c>
      <c r="C209">
        <v>2</v>
      </c>
      <c r="D209" t="s">
        <v>315</v>
      </c>
      <c r="E209" t="s">
        <v>11</v>
      </c>
      <c r="F209" t="str">
        <f>IF(Cleanedtable[[#This Row],[Age]]&lt;18,"TEEN",IF(Cleanedtable[[#This Row],[Age]]&lt;30,"YOUTH",IF(Cleanedtable[[#This Row],[Age]]&lt;=59,"ADULT",IF(Cleanedtable[[#This Row],[Age]]&gt;=60,"ELDER"))))</f>
        <v>YOUTH</v>
      </c>
      <c r="G209">
        <v>24</v>
      </c>
      <c r="H209">
        <v>0</v>
      </c>
      <c r="I209">
        <v>0</v>
      </c>
      <c r="J209" t="s">
        <v>789</v>
      </c>
      <c r="K209">
        <v>10.5</v>
      </c>
      <c r="M209" t="s">
        <v>15</v>
      </c>
      <c r="N209" t="str">
        <f>IF(Cleanedtable[[#This Row],[Age]]&lt;18, "YES","NO")</f>
        <v>NO</v>
      </c>
      <c r="O209" t="str">
        <f>IF(Cleanedtable[[#This Row],[SIBLINGS/SPOUSES]]&gt;0,"YES","NO")</f>
        <v>NO</v>
      </c>
      <c r="P209" t="str">
        <f>IF(Cleanedtable[[#This Row],[Parch]]&gt;0,"YES","NO")</f>
        <v>NO</v>
      </c>
    </row>
    <row r="210" spans="1:16" x14ac:dyDescent="0.35">
      <c r="A210">
        <v>1100</v>
      </c>
      <c r="B210">
        <v>1</v>
      </c>
      <c r="C210">
        <v>1</v>
      </c>
      <c r="D210" t="s">
        <v>316</v>
      </c>
      <c r="E210" t="s">
        <v>14</v>
      </c>
      <c r="F210" t="str">
        <f>IF(Cleanedtable[[#This Row],[Age]]&lt;18,"TEEN",IF(Cleanedtable[[#This Row],[Age]]&lt;30,"YOUTH",IF(Cleanedtable[[#This Row],[Age]]&lt;=59,"ADULT",IF(Cleanedtable[[#This Row],[Age]]&gt;=60,"ELDER"))))</f>
        <v>ADULT</v>
      </c>
      <c r="G210">
        <v>33</v>
      </c>
      <c r="H210">
        <v>0</v>
      </c>
      <c r="I210">
        <v>0</v>
      </c>
      <c r="J210" t="s">
        <v>790</v>
      </c>
      <c r="K210">
        <v>27.720800000000001</v>
      </c>
      <c r="L210" t="s">
        <v>318</v>
      </c>
      <c r="M210" t="s">
        <v>23</v>
      </c>
      <c r="N210" t="str">
        <f>IF(Cleanedtable[[#This Row],[Age]]&lt;18, "YES","NO")</f>
        <v>NO</v>
      </c>
      <c r="O210" t="str">
        <f>IF(Cleanedtable[[#This Row],[SIBLINGS/SPOUSES]]&gt;0,"YES","NO")</f>
        <v>NO</v>
      </c>
      <c r="P210" t="str">
        <f>IF(Cleanedtable[[#This Row],[Parch]]&gt;0,"YES","NO")</f>
        <v>NO</v>
      </c>
    </row>
    <row r="211" spans="1:16" x14ac:dyDescent="0.35">
      <c r="A211">
        <v>1101</v>
      </c>
      <c r="B211">
        <v>0</v>
      </c>
      <c r="C211">
        <v>3</v>
      </c>
      <c r="D211" t="s">
        <v>319</v>
      </c>
      <c r="E211" t="s">
        <v>11</v>
      </c>
      <c r="F211" t="str">
        <f>IF(Cleanedtable[[#This Row],[Age]]&lt;18,"TEEN",IF(Cleanedtable[[#This Row],[Age]]&lt;30,"YOUTH",IF(Cleanedtable[[#This Row],[Age]]&lt;=59,"ADULT",IF(Cleanedtable[[#This Row],[Age]]&gt;=60,"ELDER"))))</f>
        <v>YOUTH</v>
      </c>
      <c r="G211">
        <v>25</v>
      </c>
      <c r="H211">
        <v>0</v>
      </c>
      <c r="I211">
        <v>0</v>
      </c>
      <c r="J211" t="s">
        <v>791</v>
      </c>
      <c r="K211">
        <v>7.8958000000000004</v>
      </c>
      <c r="M211" t="s">
        <v>15</v>
      </c>
      <c r="N211" t="str">
        <f>IF(Cleanedtable[[#This Row],[Age]]&lt;18, "YES","NO")</f>
        <v>NO</v>
      </c>
      <c r="O211" t="str">
        <f>IF(Cleanedtable[[#This Row],[SIBLINGS/SPOUSES]]&gt;0,"YES","NO")</f>
        <v>NO</v>
      </c>
      <c r="P211" t="str">
        <f>IF(Cleanedtable[[#This Row],[Parch]]&gt;0,"YES","NO")</f>
        <v>NO</v>
      </c>
    </row>
    <row r="212" spans="1:16" x14ac:dyDescent="0.35">
      <c r="A212">
        <v>1102</v>
      </c>
      <c r="B212">
        <v>0</v>
      </c>
      <c r="C212">
        <v>3</v>
      </c>
      <c r="D212" t="s">
        <v>320</v>
      </c>
      <c r="E212" t="s">
        <v>11</v>
      </c>
      <c r="F212" t="str">
        <f>IF(Cleanedtable[[#This Row],[Age]]&lt;18,"TEEN",IF(Cleanedtable[[#This Row],[Age]]&lt;30,"YOUTH",IF(Cleanedtable[[#This Row],[Age]]&lt;=59,"ADULT",IF(Cleanedtable[[#This Row],[Age]]&gt;=60,"ELDER"))))</f>
        <v>ADULT</v>
      </c>
      <c r="G212">
        <v>32</v>
      </c>
      <c r="H212">
        <v>0</v>
      </c>
      <c r="I212">
        <v>0</v>
      </c>
      <c r="J212" t="s">
        <v>171</v>
      </c>
      <c r="K212">
        <v>22.524999999999999</v>
      </c>
      <c r="M212" t="s">
        <v>15</v>
      </c>
      <c r="N212" t="str">
        <f>IF(Cleanedtable[[#This Row],[Age]]&lt;18, "YES","NO")</f>
        <v>NO</v>
      </c>
      <c r="O212" t="str">
        <f>IF(Cleanedtable[[#This Row],[SIBLINGS/SPOUSES]]&gt;0,"YES","NO")</f>
        <v>NO</v>
      </c>
      <c r="P212" t="str">
        <f>IF(Cleanedtable[[#This Row],[Parch]]&gt;0,"YES","NO")</f>
        <v>NO</v>
      </c>
    </row>
    <row r="213" spans="1:16" x14ac:dyDescent="0.35">
      <c r="A213">
        <v>1103</v>
      </c>
      <c r="B213">
        <v>0</v>
      </c>
      <c r="C213">
        <v>3</v>
      </c>
      <c r="D213" t="s">
        <v>321</v>
      </c>
      <c r="E213" t="s">
        <v>11</v>
      </c>
      <c r="F213" t="str">
        <f>IF(Cleanedtable[[#This Row],[Age]]&lt;18,"TEEN",IF(Cleanedtable[[#This Row],[Age]]&lt;30,"YOUTH",IF(Cleanedtable[[#This Row],[Age]]&lt;=59,"ADULT",IF(Cleanedtable[[#This Row],[Age]]&gt;=60,"ELDER"))))</f>
        <v>ADULT</v>
      </c>
      <c r="G213">
        <v>30.2</v>
      </c>
      <c r="H213">
        <v>0</v>
      </c>
      <c r="I213">
        <v>0</v>
      </c>
      <c r="J213" t="s">
        <v>792</v>
      </c>
      <c r="K213">
        <v>7.05</v>
      </c>
      <c r="M213" t="s">
        <v>15</v>
      </c>
      <c r="N213" t="str">
        <f>IF(Cleanedtable[[#This Row],[Age]]&lt;18, "YES","NO")</f>
        <v>NO</v>
      </c>
      <c r="O213" t="str">
        <f>IF(Cleanedtable[[#This Row],[SIBLINGS/SPOUSES]]&gt;0,"YES","NO")</f>
        <v>NO</v>
      </c>
      <c r="P213" t="str">
        <f>IF(Cleanedtable[[#This Row],[Parch]]&gt;0,"YES","NO")</f>
        <v>NO</v>
      </c>
    </row>
    <row r="214" spans="1:16" x14ac:dyDescent="0.35">
      <c r="A214">
        <v>1104</v>
      </c>
      <c r="B214">
        <v>0</v>
      </c>
      <c r="C214">
        <v>2</v>
      </c>
      <c r="D214" t="s">
        <v>323</v>
      </c>
      <c r="E214" t="s">
        <v>11</v>
      </c>
      <c r="F214" t="str">
        <f>IF(Cleanedtable[[#This Row],[Age]]&lt;18,"TEEN",IF(Cleanedtable[[#This Row],[Age]]&lt;30,"YOUTH",IF(Cleanedtable[[#This Row],[Age]]&lt;=59,"ADULT",IF(Cleanedtable[[#This Row],[Age]]&gt;=60,"ELDER"))))</f>
        <v>TEEN</v>
      </c>
      <c r="G214">
        <v>17</v>
      </c>
      <c r="H214">
        <v>0</v>
      </c>
      <c r="I214">
        <v>0</v>
      </c>
      <c r="J214" t="s">
        <v>324</v>
      </c>
      <c r="K214">
        <v>73.5</v>
      </c>
      <c r="M214" t="s">
        <v>15</v>
      </c>
      <c r="N214" t="str">
        <f>IF(Cleanedtable[[#This Row],[Age]]&lt;18, "YES","NO")</f>
        <v>YES</v>
      </c>
      <c r="O214" t="str">
        <f>IF(Cleanedtable[[#This Row],[SIBLINGS/SPOUSES]]&gt;0,"YES","NO")</f>
        <v>NO</v>
      </c>
      <c r="P214" t="str">
        <f>IF(Cleanedtable[[#This Row],[Parch]]&gt;0,"YES","NO")</f>
        <v>NO</v>
      </c>
    </row>
    <row r="215" spans="1:16" x14ac:dyDescent="0.35">
      <c r="A215">
        <v>1105</v>
      </c>
      <c r="B215">
        <v>1</v>
      </c>
      <c r="C215">
        <v>2</v>
      </c>
      <c r="D215" t="s">
        <v>325</v>
      </c>
      <c r="E215" t="s">
        <v>14</v>
      </c>
      <c r="F215" t="str">
        <f>IF(Cleanedtable[[#This Row],[Age]]&lt;18,"TEEN",IF(Cleanedtable[[#This Row],[Age]]&lt;30,"YOUTH",IF(Cleanedtable[[#This Row],[Age]]&lt;=59,"ADULT",IF(Cleanedtable[[#This Row],[Age]]&gt;=60,"ELDER"))))</f>
        <v>ELDER</v>
      </c>
      <c r="G215">
        <v>60</v>
      </c>
      <c r="H215">
        <v>1</v>
      </c>
      <c r="I215">
        <v>0</v>
      </c>
      <c r="J215" t="s">
        <v>631</v>
      </c>
      <c r="K215">
        <v>26</v>
      </c>
      <c r="M215" t="s">
        <v>15</v>
      </c>
      <c r="N215" t="str">
        <f>IF(Cleanedtable[[#This Row],[Age]]&lt;18, "YES","NO")</f>
        <v>NO</v>
      </c>
      <c r="O215" t="str">
        <f>IF(Cleanedtable[[#This Row],[SIBLINGS/SPOUSES]]&gt;0,"YES","NO")</f>
        <v>YES</v>
      </c>
      <c r="P215" t="str">
        <f>IF(Cleanedtable[[#This Row],[Parch]]&gt;0,"YES","NO")</f>
        <v>NO</v>
      </c>
    </row>
    <row r="216" spans="1:16" x14ac:dyDescent="0.35">
      <c r="A216">
        <v>1106</v>
      </c>
      <c r="B216">
        <v>1</v>
      </c>
      <c r="C216">
        <v>3</v>
      </c>
      <c r="D216" t="s">
        <v>326</v>
      </c>
      <c r="E216" t="s">
        <v>14</v>
      </c>
      <c r="F216" t="str">
        <f>IF(Cleanedtable[[#This Row],[Age]]&lt;18,"TEEN",IF(Cleanedtable[[#This Row],[Age]]&lt;30,"YOUTH",IF(Cleanedtable[[#This Row],[Age]]&lt;=59,"ADULT",IF(Cleanedtable[[#This Row],[Age]]&gt;=60,"ELDER"))))</f>
        <v>ADULT</v>
      </c>
      <c r="G216">
        <v>38</v>
      </c>
      <c r="H216">
        <v>4</v>
      </c>
      <c r="I216">
        <v>2</v>
      </c>
      <c r="J216" t="s">
        <v>793</v>
      </c>
      <c r="K216">
        <v>7.7750000000000004</v>
      </c>
      <c r="M216" t="s">
        <v>15</v>
      </c>
      <c r="N216" t="str">
        <f>IF(Cleanedtable[[#This Row],[Age]]&lt;18, "YES","NO")</f>
        <v>NO</v>
      </c>
      <c r="O216" t="str">
        <f>IF(Cleanedtable[[#This Row],[SIBLINGS/SPOUSES]]&gt;0,"YES","NO")</f>
        <v>YES</v>
      </c>
      <c r="P216" t="str">
        <f>IF(Cleanedtable[[#This Row],[Parch]]&gt;0,"YES","NO")</f>
        <v>YES</v>
      </c>
    </row>
    <row r="217" spans="1:16" x14ac:dyDescent="0.35">
      <c r="A217">
        <v>1107</v>
      </c>
      <c r="B217">
        <v>0</v>
      </c>
      <c r="C217">
        <v>1</v>
      </c>
      <c r="D217" t="s">
        <v>327</v>
      </c>
      <c r="E217" t="s">
        <v>11</v>
      </c>
      <c r="F217" t="str">
        <f>IF(Cleanedtable[[#This Row],[Age]]&lt;18,"TEEN",IF(Cleanedtable[[#This Row],[Age]]&lt;30,"YOUTH",IF(Cleanedtable[[#This Row],[Age]]&lt;=59,"ADULT",IF(Cleanedtable[[#This Row],[Age]]&gt;=60,"ELDER"))))</f>
        <v>ADULT</v>
      </c>
      <c r="G217">
        <v>42</v>
      </c>
      <c r="H217">
        <v>0</v>
      </c>
      <c r="I217">
        <v>0</v>
      </c>
      <c r="J217" t="s">
        <v>794</v>
      </c>
      <c r="K217">
        <v>42.5</v>
      </c>
      <c r="L217" t="s">
        <v>328</v>
      </c>
      <c r="M217" t="s">
        <v>15</v>
      </c>
      <c r="N217" t="str">
        <f>IF(Cleanedtable[[#This Row],[Age]]&lt;18, "YES","NO")</f>
        <v>NO</v>
      </c>
      <c r="O217" t="str">
        <f>IF(Cleanedtable[[#This Row],[SIBLINGS/SPOUSES]]&gt;0,"YES","NO")</f>
        <v>NO</v>
      </c>
      <c r="P217" t="str">
        <f>IF(Cleanedtable[[#This Row],[Parch]]&gt;0,"YES","NO")</f>
        <v>NO</v>
      </c>
    </row>
    <row r="218" spans="1:16" x14ac:dyDescent="0.35">
      <c r="A218">
        <v>1108</v>
      </c>
      <c r="B218">
        <v>1</v>
      </c>
      <c r="C218">
        <v>3</v>
      </c>
      <c r="D218" t="s">
        <v>329</v>
      </c>
      <c r="E218" t="s">
        <v>14</v>
      </c>
      <c r="F218" t="str">
        <f>IF(Cleanedtable[[#This Row],[Age]]&lt;18,"TEEN",IF(Cleanedtable[[#This Row],[Age]]&lt;30,"YOUTH",IF(Cleanedtable[[#This Row],[Age]]&lt;=59,"ADULT",IF(Cleanedtable[[#This Row],[Age]]&gt;=60,"ELDER"))))</f>
        <v>ADULT</v>
      </c>
      <c r="G218">
        <v>30.2</v>
      </c>
      <c r="H218">
        <v>0</v>
      </c>
      <c r="I218">
        <v>0</v>
      </c>
      <c r="J218" t="s">
        <v>795</v>
      </c>
      <c r="K218">
        <v>7.8792</v>
      </c>
      <c r="M218" t="s">
        <v>12</v>
      </c>
      <c r="N218" t="str">
        <f>IF(Cleanedtable[[#This Row],[Age]]&lt;18, "YES","NO")</f>
        <v>NO</v>
      </c>
      <c r="O218" t="str">
        <f>IF(Cleanedtable[[#This Row],[SIBLINGS/SPOUSES]]&gt;0,"YES","NO")</f>
        <v>NO</v>
      </c>
      <c r="P218" t="str">
        <f>IF(Cleanedtable[[#This Row],[Parch]]&gt;0,"YES","NO")</f>
        <v>NO</v>
      </c>
    </row>
    <row r="219" spans="1:16" x14ac:dyDescent="0.35">
      <c r="A219">
        <v>1109</v>
      </c>
      <c r="B219">
        <v>0</v>
      </c>
      <c r="C219">
        <v>1</v>
      </c>
      <c r="D219" t="s">
        <v>330</v>
      </c>
      <c r="E219" t="s">
        <v>11</v>
      </c>
      <c r="F219" t="str">
        <f>IF(Cleanedtable[[#This Row],[Age]]&lt;18,"TEEN",IF(Cleanedtable[[#This Row],[Age]]&lt;30,"YOUTH",IF(Cleanedtable[[#This Row],[Age]]&lt;=59,"ADULT",IF(Cleanedtable[[#This Row],[Age]]&gt;=60,"ELDER"))))</f>
        <v>ADULT</v>
      </c>
      <c r="G219">
        <v>57</v>
      </c>
      <c r="H219">
        <v>1</v>
      </c>
      <c r="I219">
        <v>1</v>
      </c>
      <c r="J219" t="s">
        <v>796</v>
      </c>
      <c r="K219">
        <v>164.86670000000001</v>
      </c>
      <c r="M219" t="s">
        <v>15</v>
      </c>
      <c r="N219" t="str">
        <f>IF(Cleanedtable[[#This Row],[Age]]&lt;18, "YES","NO")</f>
        <v>NO</v>
      </c>
      <c r="O219" t="str">
        <f>IF(Cleanedtable[[#This Row],[SIBLINGS/SPOUSES]]&gt;0,"YES","NO")</f>
        <v>YES</v>
      </c>
      <c r="P219" t="str">
        <f>IF(Cleanedtable[[#This Row],[Parch]]&gt;0,"YES","NO")</f>
        <v>YES</v>
      </c>
    </row>
    <row r="220" spans="1:16" x14ac:dyDescent="0.35">
      <c r="A220">
        <v>1110</v>
      </c>
      <c r="B220">
        <v>1</v>
      </c>
      <c r="C220">
        <v>1</v>
      </c>
      <c r="D220" t="s">
        <v>331</v>
      </c>
      <c r="E220" t="s">
        <v>14</v>
      </c>
      <c r="F220" t="str">
        <f>IF(Cleanedtable[[#This Row],[Age]]&lt;18,"TEEN",IF(Cleanedtable[[#This Row],[Age]]&lt;30,"YOUTH",IF(Cleanedtable[[#This Row],[Age]]&lt;=59,"ADULT",IF(Cleanedtable[[#This Row],[Age]]&gt;=60,"ELDER"))))</f>
        <v>ADULT</v>
      </c>
      <c r="G220">
        <v>30.2</v>
      </c>
      <c r="H220">
        <v>1</v>
      </c>
      <c r="I220">
        <v>1</v>
      </c>
      <c r="J220" t="s">
        <v>681</v>
      </c>
      <c r="K220">
        <v>211.5</v>
      </c>
      <c r="L220" t="s">
        <v>332</v>
      </c>
      <c r="M220" t="s">
        <v>23</v>
      </c>
      <c r="N220" t="str">
        <f>IF(Cleanedtable[[#This Row],[Age]]&lt;18, "YES","NO")</f>
        <v>NO</v>
      </c>
      <c r="O220" t="str">
        <f>IF(Cleanedtable[[#This Row],[SIBLINGS/SPOUSES]]&gt;0,"YES","NO")</f>
        <v>YES</v>
      </c>
      <c r="P220" t="str">
        <f>IF(Cleanedtable[[#This Row],[Parch]]&gt;0,"YES","NO")</f>
        <v>YES</v>
      </c>
    </row>
    <row r="221" spans="1:16" x14ac:dyDescent="0.35">
      <c r="A221">
        <v>1111</v>
      </c>
      <c r="B221">
        <v>0</v>
      </c>
      <c r="C221">
        <v>3</v>
      </c>
      <c r="D221" t="s">
        <v>333</v>
      </c>
      <c r="E221" t="s">
        <v>11</v>
      </c>
      <c r="F221" t="str">
        <f>IF(Cleanedtable[[#This Row],[Age]]&lt;18,"TEEN",IF(Cleanedtable[[#This Row],[Age]]&lt;30,"YOUTH",IF(Cleanedtable[[#This Row],[Age]]&lt;=59,"ADULT",IF(Cleanedtable[[#This Row],[Age]]&gt;=60,"ELDER"))))</f>
        <v>ADULT</v>
      </c>
      <c r="G221">
        <v>30.2</v>
      </c>
      <c r="H221">
        <v>0</v>
      </c>
      <c r="I221">
        <v>0</v>
      </c>
      <c r="J221" t="s">
        <v>797</v>
      </c>
      <c r="K221">
        <v>8.0500000000000007</v>
      </c>
      <c r="M221" t="s">
        <v>15</v>
      </c>
      <c r="N221" t="str">
        <f>IF(Cleanedtable[[#This Row],[Age]]&lt;18, "YES","NO")</f>
        <v>NO</v>
      </c>
      <c r="O221" t="str">
        <f>IF(Cleanedtable[[#This Row],[SIBLINGS/SPOUSES]]&gt;0,"YES","NO")</f>
        <v>NO</v>
      </c>
      <c r="P221" t="str">
        <f>IF(Cleanedtable[[#This Row],[Parch]]&gt;0,"YES","NO")</f>
        <v>NO</v>
      </c>
    </row>
    <row r="222" spans="1:16" x14ac:dyDescent="0.35">
      <c r="A222">
        <v>1112</v>
      </c>
      <c r="B222">
        <v>1</v>
      </c>
      <c r="C222">
        <v>2</v>
      </c>
      <c r="D222" t="s">
        <v>334</v>
      </c>
      <c r="E222" t="s">
        <v>14</v>
      </c>
      <c r="F222" t="str">
        <f>IF(Cleanedtable[[#This Row],[Age]]&lt;18,"TEEN",IF(Cleanedtable[[#This Row],[Age]]&lt;30,"YOUTH",IF(Cleanedtable[[#This Row],[Age]]&lt;=59,"ADULT",IF(Cleanedtable[[#This Row],[Age]]&gt;=60,"ELDER"))))</f>
        <v>ADULT</v>
      </c>
      <c r="G222">
        <v>30</v>
      </c>
      <c r="H222">
        <v>1</v>
      </c>
      <c r="I222">
        <v>0</v>
      </c>
      <c r="J222" t="s">
        <v>798</v>
      </c>
      <c r="K222">
        <v>13.8583</v>
      </c>
      <c r="M222" t="s">
        <v>23</v>
      </c>
      <c r="N222" t="str">
        <f>IF(Cleanedtable[[#This Row],[Age]]&lt;18, "YES","NO")</f>
        <v>NO</v>
      </c>
      <c r="O222" t="str">
        <f>IF(Cleanedtable[[#This Row],[SIBLINGS/SPOUSES]]&gt;0,"YES","NO")</f>
        <v>YES</v>
      </c>
      <c r="P222" t="str">
        <f>IF(Cleanedtable[[#This Row],[Parch]]&gt;0,"YES","NO")</f>
        <v>NO</v>
      </c>
    </row>
    <row r="223" spans="1:16" x14ac:dyDescent="0.35">
      <c r="A223">
        <v>1113</v>
      </c>
      <c r="B223">
        <v>0</v>
      </c>
      <c r="C223">
        <v>3</v>
      </c>
      <c r="D223" t="s">
        <v>336</v>
      </c>
      <c r="E223" t="s">
        <v>11</v>
      </c>
      <c r="F223" t="str">
        <f>IF(Cleanedtable[[#This Row],[Age]]&lt;18,"TEEN",IF(Cleanedtable[[#This Row],[Age]]&lt;30,"YOUTH",IF(Cleanedtable[[#This Row],[Age]]&lt;=59,"ADULT",IF(Cleanedtable[[#This Row],[Age]]&gt;=60,"ELDER"))))</f>
        <v>YOUTH</v>
      </c>
      <c r="G223">
        <v>21</v>
      </c>
      <c r="H223">
        <v>0</v>
      </c>
      <c r="I223">
        <v>0</v>
      </c>
      <c r="J223" t="s">
        <v>799</v>
      </c>
      <c r="K223">
        <v>8.0500000000000007</v>
      </c>
      <c r="M223" t="s">
        <v>15</v>
      </c>
      <c r="N223" t="str">
        <f>IF(Cleanedtable[[#This Row],[Age]]&lt;18, "YES","NO")</f>
        <v>NO</v>
      </c>
      <c r="O223" t="str">
        <f>IF(Cleanedtable[[#This Row],[SIBLINGS/SPOUSES]]&gt;0,"YES","NO")</f>
        <v>NO</v>
      </c>
      <c r="P223" t="str">
        <f>IF(Cleanedtable[[#This Row],[Parch]]&gt;0,"YES","NO")</f>
        <v>NO</v>
      </c>
    </row>
    <row r="224" spans="1:16" x14ac:dyDescent="0.35">
      <c r="A224">
        <v>1114</v>
      </c>
      <c r="B224">
        <v>1</v>
      </c>
      <c r="C224">
        <v>2</v>
      </c>
      <c r="D224" t="s">
        <v>337</v>
      </c>
      <c r="E224" t="s">
        <v>14</v>
      </c>
      <c r="F224" t="str">
        <f>IF(Cleanedtable[[#This Row],[Age]]&lt;18,"TEEN",IF(Cleanedtable[[#This Row],[Age]]&lt;30,"YOUTH",IF(Cleanedtable[[#This Row],[Age]]&lt;=59,"ADULT",IF(Cleanedtable[[#This Row],[Age]]&gt;=60,"ELDER"))))</f>
        <v>YOUTH</v>
      </c>
      <c r="G224">
        <v>22</v>
      </c>
      <c r="H224">
        <v>0</v>
      </c>
      <c r="I224">
        <v>0</v>
      </c>
      <c r="J224" t="s">
        <v>338</v>
      </c>
      <c r="K224">
        <v>10.5</v>
      </c>
      <c r="L224" t="s">
        <v>339</v>
      </c>
      <c r="M224" t="s">
        <v>15</v>
      </c>
      <c r="N224" t="str">
        <f>IF(Cleanedtable[[#This Row],[Age]]&lt;18, "YES","NO")</f>
        <v>NO</v>
      </c>
      <c r="O224" t="str">
        <f>IF(Cleanedtable[[#This Row],[SIBLINGS/SPOUSES]]&gt;0,"YES","NO")</f>
        <v>NO</v>
      </c>
      <c r="P224" t="str">
        <f>IF(Cleanedtable[[#This Row],[Parch]]&gt;0,"YES","NO")</f>
        <v>NO</v>
      </c>
    </row>
    <row r="225" spans="1:16" x14ac:dyDescent="0.35">
      <c r="A225">
        <v>1115</v>
      </c>
      <c r="B225">
        <v>0</v>
      </c>
      <c r="C225">
        <v>3</v>
      </c>
      <c r="D225" t="s">
        <v>340</v>
      </c>
      <c r="E225" t="s">
        <v>11</v>
      </c>
      <c r="F225" t="str">
        <f>IF(Cleanedtable[[#This Row],[Age]]&lt;18,"TEEN",IF(Cleanedtable[[#This Row],[Age]]&lt;30,"YOUTH",IF(Cleanedtable[[#This Row],[Age]]&lt;=59,"ADULT",IF(Cleanedtable[[#This Row],[Age]]&gt;=60,"ELDER"))))</f>
        <v>YOUTH</v>
      </c>
      <c r="G225">
        <v>21</v>
      </c>
      <c r="H225">
        <v>0</v>
      </c>
      <c r="I225">
        <v>0</v>
      </c>
      <c r="J225" t="s">
        <v>800</v>
      </c>
      <c r="K225">
        <v>7.7957999999999998</v>
      </c>
      <c r="M225" t="s">
        <v>15</v>
      </c>
      <c r="N225" t="str">
        <f>IF(Cleanedtable[[#This Row],[Age]]&lt;18, "YES","NO")</f>
        <v>NO</v>
      </c>
      <c r="O225" t="str">
        <f>IF(Cleanedtable[[#This Row],[SIBLINGS/SPOUSES]]&gt;0,"YES","NO")</f>
        <v>NO</v>
      </c>
      <c r="P225" t="str">
        <f>IF(Cleanedtable[[#This Row],[Parch]]&gt;0,"YES","NO")</f>
        <v>NO</v>
      </c>
    </row>
    <row r="226" spans="1:16" x14ac:dyDescent="0.35">
      <c r="A226">
        <v>1116</v>
      </c>
      <c r="B226">
        <v>1</v>
      </c>
      <c r="C226">
        <v>1</v>
      </c>
      <c r="D226" t="s">
        <v>341</v>
      </c>
      <c r="E226" t="s">
        <v>14</v>
      </c>
      <c r="F226" t="str">
        <f>IF(Cleanedtable[[#This Row],[Age]]&lt;18,"TEEN",IF(Cleanedtable[[#This Row],[Age]]&lt;30,"YOUTH",IF(Cleanedtable[[#This Row],[Age]]&lt;=59,"ADULT",IF(Cleanedtable[[#This Row],[Age]]&gt;=60,"ELDER"))))</f>
        <v>ADULT</v>
      </c>
      <c r="G226">
        <v>53</v>
      </c>
      <c r="H226">
        <v>0</v>
      </c>
      <c r="I226">
        <v>0</v>
      </c>
      <c r="J226" t="s">
        <v>801</v>
      </c>
      <c r="K226">
        <v>27.445799999999998</v>
      </c>
      <c r="M226" t="s">
        <v>23</v>
      </c>
      <c r="N226" t="str">
        <f>IF(Cleanedtable[[#This Row],[Age]]&lt;18, "YES","NO")</f>
        <v>NO</v>
      </c>
      <c r="O226" t="str">
        <f>IF(Cleanedtable[[#This Row],[SIBLINGS/SPOUSES]]&gt;0,"YES","NO")</f>
        <v>NO</v>
      </c>
      <c r="P226" t="str">
        <f>IF(Cleanedtable[[#This Row],[Parch]]&gt;0,"YES","NO")</f>
        <v>NO</v>
      </c>
    </row>
    <row r="227" spans="1:16" x14ac:dyDescent="0.35">
      <c r="A227">
        <v>1117</v>
      </c>
      <c r="B227">
        <v>1</v>
      </c>
      <c r="C227">
        <v>3</v>
      </c>
      <c r="D227" t="s">
        <v>343</v>
      </c>
      <c r="E227" t="s">
        <v>14</v>
      </c>
      <c r="F227" t="str">
        <f>IF(Cleanedtable[[#This Row],[Age]]&lt;18,"TEEN",IF(Cleanedtable[[#This Row],[Age]]&lt;30,"YOUTH",IF(Cleanedtable[[#This Row],[Age]]&lt;=59,"ADULT",IF(Cleanedtable[[#This Row],[Age]]&gt;=60,"ELDER"))))</f>
        <v>ADULT</v>
      </c>
      <c r="G227">
        <v>30.2</v>
      </c>
      <c r="H227">
        <v>0</v>
      </c>
      <c r="I227">
        <v>2</v>
      </c>
      <c r="J227" t="s">
        <v>802</v>
      </c>
      <c r="K227">
        <v>15.245799999999999</v>
      </c>
      <c r="M227" t="s">
        <v>23</v>
      </c>
      <c r="N227" t="str">
        <f>IF(Cleanedtable[[#This Row],[Age]]&lt;18, "YES","NO")</f>
        <v>NO</v>
      </c>
      <c r="O227" t="str">
        <f>IF(Cleanedtable[[#This Row],[SIBLINGS/SPOUSES]]&gt;0,"YES","NO")</f>
        <v>NO</v>
      </c>
      <c r="P227" t="str">
        <f>IF(Cleanedtable[[#This Row],[Parch]]&gt;0,"YES","NO")</f>
        <v>YES</v>
      </c>
    </row>
    <row r="228" spans="1:16" x14ac:dyDescent="0.35">
      <c r="A228">
        <v>1118</v>
      </c>
      <c r="B228">
        <v>0</v>
      </c>
      <c r="C228">
        <v>3</v>
      </c>
      <c r="D228" t="s">
        <v>344</v>
      </c>
      <c r="E228" t="s">
        <v>11</v>
      </c>
      <c r="F228" t="str">
        <f>IF(Cleanedtable[[#This Row],[Age]]&lt;18,"TEEN",IF(Cleanedtable[[#This Row],[Age]]&lt;30,"YOUTH",IF(Cleanedtable[[#This Row],[Age]]&lt;=59,"ADULT",IF(Cleanedtable[[#This Row],[Age]]&gt;=60,"ELDER"))))</f>
        <v>YOUTH</v>
      </c>
      <c r="G228">
        <v>23</v>
      </c>
      <c r="H228">
        <v>0</v>
      </c>
      <c r="I228">
        <v>0</v>
      </c>
      <c r="J228" t="s">
        <v>803</v>
      </c>
      <c r="K228">
        <v>7.7957999999999998</v>
      </c>
      <c r="M228" t="s">
        <v>15</v>
      </c>
      <c r="N228" t="str">
        <f>IF(Cleanedtable[[#This Row],[Age]]&lt;18, "YES","NO")</f>
        <v>NO</v>
      </c>
      <c r="O228" t="str">
        <f>IF(Cleanedtable[[#This Row],[SIBLINGS/SPOUSES]]&gt;0,"YES","NO")</f>
        <v>NO</v>
      </c>
      <c r="P228" t="str">
        <f>IF(Cleanedtable[[#This Row],[Parch]]&gt;0,"YES","NO")</f>
        <v>NO</v>
      </c>
    </row>
    <row r="229" spans="1:16" x14ac:dyDescent="0.35">
      <c r="A229">
        <v>1119</v>
      </c>
      <c r="B229">
        <v>1</v>
      </c>
      <c r="C229">
        <v>3</v>
      </c>
      <c r="D229" t="s">
        <v>345</v>
      </c>
      <c r="E229" t="s">
        <v>14</v>
      </c>
      <c r="F229" t="str">
        <f>IF(Cleanedtable[[#This Row],[Age]]&lt;18,"TEEN",IF(Cleanedtable[[#This Row],[Age]]&lt;30,"YOUTH",IF(Cleanedtable[[#This Row],[Age]]&lt;=59,"ADULT",IF(Cleanedtable[[#This Row],[Age]]&gt;=60,"ELDER"))))</f>
        <v>ADULT</v>
      </c>
      <c r="G229">
        <v>30.2</v>
      </c>
      <c r="H229">
        <v>0</v>
      </c>
      <c r="I229">
        <v>0</v>
      </c>
      <c r="J229" t="s">
        <v>804</v>
      </c>
      <c r="K229">
        <v>7.75</v>
      </c>
      <c r="M229" t="s">
        <v>12</v>
      </c>
      <c r="N229" t="str">
        <f>IF(Cleanedtable[[#This Row],[Age]]&lt;18, "YES","NO")</f>
        <v>NO</v>
      </c>
      <c r="O229" t="str">
        <f>IF(Cleanedtable[[#This Row],[SIBLINGS/SPOUSES]]&gt;0,"YES","NO")</f>
        <v>NO</v>
      </c>
      <c r="P229" t="str">
        <f>IF(Cleanedtable[[#This Row],[Parch]]&gt;0,"YES","NO")</f>
        <v>NO</v>
      </c>
    </row>
    <row r="230" spans="1:16" x14ac:dyDescent="0.35">
      <c r="A230">
        <v>1120</v>
      </c>
      <c r="B230">
        <v>0</v>
      </c>
      <c r="C230">
        <v>3</v>
      </c>
      <c r="D230" t="s">
        <v>346</v>
      </c>
      <c r="E230" t="s">
        <v>11</v>
      </c>
      <c r="F230" t="str">
        <f>IF(Cleanedtable[[#This Row],[Age]]&lt;18,"TEEN",IF(Cleanedtable[[#This Row],[Age]]&lt;30,"YOUTH",IF(Cleanedtable[[#This Row],[Age]]&lt;=59,"ADULT",IF(Cleanedtable[[#This Row],[Age]]&gt;=60,"ELDER"))))</f>
        <v>ADULT</v>
      </c>
      <c r="G230">
        <v>40.5</v>
      </c>
      <c r="H230">
        <v>0</v>
      </c>
      <c r="I230">
        <v>0</v>
      </c>
      <c r="J230" t="s">
        <v>347</v>
      </c>
      <c r="K230">
        <v>15.1</v>
      </c>
      <c r="M230" t="s">
        <v>15</v>
      </c>
      <c r="N230" t="str">
        <f>IF(Cleanedtable[[#This Row],[Age]]&lt;18, "YES","NO")</f>
        <v>NO</v>
      </c>
      <c r="O230" t="str">
        <f>IF(Cleanedtable[[#This Row],[SIBLINGS/SPOUSES]]&gt;0,"YES","NO")</f>
        <v>NO</v>
      </c>
      <c r="P230" t="str">
        <f>IF(Cleanedtable[[#This Row],[Parch]]&gt;0,"YES","NO")</f>
        <v>NO</v>
      </c>
    </row>
    <row r="231" spans="1:16" x14ac:dyDescent="0.35">
      <c r="A231">
        <v>1121</v>
      </c>
      <c r="B231">
        <v>0</v>
      </c>
      <c r="C231">
        <v>2</v>
      </c>
      <c r="D231" t="s">
        <v>348</v>
      </c>
      <c r="E231" t="s">
        <v>11</v>
      </c>
      <c r="F231" t="str">
        <f>IF(Cleanedtable[[#This Row],[Age]]&lt;18,"TEEN",IF(Cleanedtable[[#This Row],[Age]]&lt;30,"YOUTH",IF(Cleanedtable[[#This Row],[Age]]&lt;=59,"ADULT",IF(Cleanedtable[[#This Row],[Age]]&gt;=60,"ELDER"))))</f>
        <v>ADULT</v>
      </c>
      <c r="G231">
        <v>36</v>
      </c>
      <c r="H231">
        <v>0</v>
      </c>
      <c r="I231">
        <v>0</v>
      </c>
      <c r="J231" t="s">
        <v>805</v>
      </c>
      <c r="K231">
        <v>13</v>
      </c>
      <c r="M231" t="s">
        <v>15</v>
      </c>
      <c r="N231" t="str">
        <f>IF(Cleanedtable[[#This Row],[Age]]&lt;18, "YES","NO")</f>
        <v>NO</v>
      </c>
      <c r="O231" t="str">
        <f>IF(Cleanedtable[[#This Row],[SIBLINGS/SPOUSES]]&gt;0,"YES","NO")</f>
        <v>NO</v>
      </c>
      <c r="P231" t="str">
        <f>IF(Cleanedtable[[#This Row],[Parch]]&gt;0,"YES","NO")</f>
        <v>NO</v>
      </c>
    </row>
    <row r="232" spans="1:16" x14ac:dyDescent="0.35">
      <c r="A232">
        <v>1122</v>
      </c>
      <c r="B232">
        <v>0</v>
      </c>
      <c r="C232">
        <v>2</v>
      </c>
      <c r="D232" t="s">
        <v>349</v>
      </c>
      <c r="E232" t="s">
        <v>11</v>
      </c>
      <c r="F232" t="str">
        <f>IF(Cleanedtable[[#This Row],[Age]]&lt;18,"TEEN",IF(Cleanedtable[[#This Row],[Age]]&lt;30,"YOUTH",IF(Cleanedtable[[#This Row],[Age]]&lt;=59,"ADULT",IF(Cleanedtable[[#This Row],[Age]]&gt;=60,"ELDER"))))</f>
        <v>TEEN</v>
      </c>
      <c r="G232">
        <v>14</v>
      </c>
      <c r="H232">
        <v>0</v>
      </c>
      <c r="I232">
        <v>0</v>
      </c>
      <c r="J232" t="s">
        <v>806</v>
      </c>
      <c r="K232">
        <v>65</v>
      </c>
      <c r="M232" t="s">
        <v>15</v>
      </c>
      <c r="N232" t="str">
        <f>IF(Cleanedtable[[#This Row],[Age]]&lt;18, "YES","NO")</f>
        <v>YES</v>
      </c>
      <c r="O232" t="str">
        <f>IF(Cleanedtable[[#This Row],[SIBLINGS/SPOUSES]]&gt;0,"YES","NO")</f>
        <v>NO</v>
      </c>
      <c r="P232" t="str">
        <f>IF(Cleanedtable[[#This Row],[Parch]]&gt;0,"YES","NO")</f>
        <v>NO</v>
      </c>
    </row>
    <row r="233" spans="1:16" x14ac:dyDescent="0.35">
      <c r="A233">
        <v>1123</v>
      </c>
      <c r="B233">
        <v>1</v>
      </c>
      <c r="C233">
        <v>1</v>
      </c>
      <c r="D233" t="s">
        <v>350</v>
      </c>
      <c r="E233" t="s">
        <v>14</v>
      </c>
      <c r="F233" t="str">
        <f>IF(Cleanedtable[[#This Row],[Age]]&lt;18,"TEEN",IF(Cleanedtable[[#This Row],[Age]]&lt;30,"YOUTH",IF(Cleanedtable[[#This Row],[Age]]&lt;=59,"ADULT",IF(Cleanedtable[[#This Row],[Age]]&gt;=60,"ELDER"))))</f>
        <v>YOUTH</v>
      </c>
      <c r="G233">
        <v>21</v>
      </c>
      <c r="H233">
        <v>0</v>
      </c>
      <c r="I233">
        <v>0</v>
      </c>
      <c r="J233" t="s">
        <v>807</v>
      </c>
      <c r="K233">
        <v>26.55</v>
      </c>
      <c r="M233" t="s">
        <v>15</v>
      </c>
      <c r="N233" t="str">
        <f>IF(Cleanedtable[[#This Row],[Age]]&lt;18, "YES","NO")</f>
        <v>NO</v>
      </c>
      <c r="O233" t="str">
        <f>IF(Cleanedtable[[#This Row],[SIBLINGS/SPOUSES]]&gt;0,"YES","NO")</f>
        <v>NO</v>
      </c>
      <c r="P233" t="str">
        <f>IF(Cleanedtable[[#This Row],[Parch]]&gt;0,"YES","NO")</f>
        <v>NO</v>
      </c>
    </row>
    <row r="234" spans="1:16" x14ac:dyDescent="0.35">
      <c r="A234">
        <v>1124</v>
      </c>
      <c r="B234">
        <v>0</v>
      </c>
      <c r="C234">
        <v>3</v>
      </c>
      <c r="D234" t="s">
        <v>351</v>
      </c>
      <c r="E234" t="s">
        <v>11</v>
      </c>
      <c r="F234" t="str">
        <f>IF(Cleanedtable[[#This Row],[Age]]&lt;18,"TEEN",IF(Cleanedtable[[#This Row],[Age]]&lt;30,"YOUTH",IF(Cleanedtable[[#This Row],[Age]]&lt;=59,"ADULT",IF(Cleanedtable[[#This Row],[Age]]&gt;=60,"ELDER"))))</f>
        <v>YOUTH</v>
      </c>
      <c r="G234">
        <v>21</v>
      </c>
      <c r="H234">
        <v>1</v>
      </c>
      <c r="I234">
        <v>0</v>
      </c>
      <c r="J234" t="s">
        <v>808</v>
      </c>
      <c r="K234">
        <v>6.4958</v>
      </c>
      <c r="M234" t="s">
        <v>15</v>
      </c>
      <c r="N234" t="str">
        <f>IF(Cleanedtable[[#This Row],[Age]]&lt;18, "YES","NO")</f>
        <v>NO</v>
      </c>
      <c r="O234" t="str">
        <f>IF(Cleanedtable[[#This Row],[SIBLINGS/SPOUSES]]&gt;0,"YES","NO")</f>
        <v>YES</v>
      </c>
      <c r="P234" t="str">
        <f>IF(Cleanedtable[[#This Row],[Parch]]&gt;0,"YES","NO")</f>
        <v>NO</v>
      </c>
    </row>
    <row r="235" spans="1:16" x14ac:dyDescent="0.35">
      <c r="A235">
        <v>1125</v>
      </c>
      <c r="B235">
        <v>0</v>
      </c>
      <c r="C235">
        <v>3</v>
      </c>
      <c r="D235" t="s">
        <v>352</v>
      </c>
      <c r="E235" t="s">
        <v>11</v>
      </c>
      <c r="F235" t="str">
        <f>IF(Cleanedtable[[#This Row],[Age]]&lt;18,"TEEN",IF(Cleanedtable[[#This Row],[Age]]&lt;30,"YOUTH",IF(Cleanedtable[[#This Row],[Age]]&lt;=59,"ADULT",IF(Cleanedtable[[#This Row],[Age]]&gt;=60,"ELDER"))))</f>
        <v>ADULT</v>
      </c>
      <c r="G235">
        <v>30.2</v>
      </c>
      <c r="H235">
        <v>0</v>
      </c>
      <c r="I235">
        <v>0</v>
      </c>
      <c r="J235" t="s">
        <v>809</v>
      </c>
      <c r="K235">
        <v>7.8792</v>
      </c>
      <c r="M235" t="s">
        <v>12</v>
      </c>
      <c r="N235" t="str">
        <f>IF(Cleanedtable[[#This Row],[Age]]&lt;18, "YES","NO")</f>
        <v>NO</v>
      </c>
      <c r="O235" t="str">
        <f>IF(Cleanedtable[[#This Row],[SIBLINGS/SPOUSES]]&gt;0,"YES","NO")</f>
        <v>NO</v>
      </c>
      <c r="P235" t="str">
        <f>IF(Cleanedtable[[#This Row],[Parch]]&gt;0,"YES","NO")</f>
        <v>NO</v>
      </c>
    </row>
    <row r="236" spans="1:16" x14ac:dyDescent="0.35">
      <c r="A236">
        <v>1126</v>
      </c>
      <c r="B236">
        <v>0</v>
      </c>
      <c r="C236">
        <v>1</v>
      </c>
      <c r="D236" t="s">
        <v>353</v>
      </c>
      <c r="E236" t="s">
        <v>11</v>
      </c>
      <c r="F236" t="str">
        <f>IF(Cleanedtable[[#This Row],[Age]]&lt;18,"TEEN",IF(Cleanedtable[[#This Row],[Age]]&lt;30,"YOUTH",IF(Cleanedtable[[#This Row],[Age]]&lt;=59,"ADULT",IF(Cleanedtable[[#This Row],[Age]]&gt;=60,"ELDER"))))</f>
        <v>ADULT</v>
      </c>
      <c r="G236">
        <v>39</v>
      </c>
      <c r="H236">
        <v>1</v>
      </c>
      <c r="I236">
        <v>0</v>
      </c>
      <c r="J236" t="s">
        <v>810</v>
      </c>
      <c r="K236">
        <v>71.283299999999997</v>
      </c>
      <c r="L236" t="s">
        <v>355</v>
      </c>
      <c r="M236" t="s">
        <v>23</v>
      </c>
      <c r="N236" t="str">
        <f>IF(Cleanedtable[[#This Row],[Age]]&lt;18, "YES","NO")</f>
        <v>NO</v>
      </c>
      <c r="O236" t="str">
        <f>IF(Cleanedtable[[#This Row],[SIBLINGS/SPOUSES]]&gt;0,"YES","NO")</f>
        <v>YES</v>
      </c>
      <c r="P236" t="str">
        <f>IF(Cleanedtable[[#This Row],[Parch]]&gt;0,"YES","NO")</f>
        <v>NO</v>
      </c>
    </row>
    <row r="237" spans="1:16" x14ac:dyDescent="0.35">
      <c r="A237">
        <v>1127</v>
      </c>
      <c r="B237">
        <v>0</v>
      </c>
      <c r="C237">
        <v>3</v>
      </c>
      <c r="D237" t="s">
        <v>356</v>
      </c>
      <c r="E237" t="s">
        <v>11</v>
      </c>
      <c r="F237" t="str">
        <f>IF(Cleanedtable[[#This Row],[Age]]&lt;18,"TEEN",IF(Cleanedtable[[#This Row],[Age]]&lt;30,"YOUTH",IF(Cleanedtable[[#This Row],[Age]]&lt;=59,"ADULT",IF(Cleanedtable[[#This Row],[Age]]&gt;=60,"ELDER"))))</f>
        <v>YOUTH</v>
      </c>
      <c r="G237">
        <v>20</v>
      </c>
      <c r="H237">
        <v>0</v>
      </c>
      <c r="I237">
        <v>0</v>
      </c>
      <c r="J237" t="s">
        <v>811</v>
      </c>
      <c r="K237">
        <v>7.8541999999999996</v>
      </c>
      <c r="M237" t="s">
        <v>15</v>
      </c>
      <c r="N237" t="str">
        <f>IF(Cleanedtable[[#This Row],[Age]]&lt;18, "YES","NO")</f>
        <v>NO</v>
      </c>
      <c r="O237" t="str">
        <f>IF(Cleanedtable[[#This Row],[SIBLINGS/SPOUSES]]&gt;0,"YES","NO")</f>
        <v>NO</v>
      </c>
      <c r="P237" t="str">
        <f>IF(Cleanedtable[[#This Row],[Parch]]&gt;0,"YES","NO")</f>
        <v>NO</v>
      </c>
    </row>
    <row r="238" spans="1:16" x14ac:dyDescent="0.35">
      <c r="A238">
        <v>1128</v>
      </c>
      <c r="B238">
        <v>0</v>
      </c>
      <c r="C238">
        <v>1</v>
      </c>
      <c r="D238" t="s">
        <v>357</v>
      </c>
      <c r="E238" t="s">
        <v>11</v>
      </c>
      <c r="F238" t="str">
        <f>IF(Cleanedtable[[#This Row],[Age]]&lt;18,"TEEN",IF(Cleanedtable[[#This Row],[Age]]&lt;30,"YOUTH",IF(Cleanedtable[[#This Row],[Age]]&lt;=59,"ADULT",IF(Cleanedtable[[#This Row],[Age]]&gt;=60,"ELDER"))))</f>
        <v>ELDER</v>
      </c>
      <c r="G238">
        <v>64</v>
      </c>
      <c r="H238">
        <v>1</v>
      </c>
      <c r="I238">
        <v>0</v>
      </c>
      <c r="J238" t="s">
        <v>812</v>
      </c>
      <c r="K238">
        <v>75.25</v>
      </c>
      <c r="L238" t="s">
        <v>358</v>
      </c>
      <c r="M238" t="s">
        <v>23</v>
      </c>
      <c r="N238" t="str">
        <f>IF(Cleanedtable[[#This Row],[Age]]&lt;18, "YES","NO")</f>
        <v>NO</v>
      </c>
      <c r="O238" t="str">
        <f>IF(Cleanedtable[[#This Row],[SIBLINGS/SPOUSES]]&gt;0,"YES","NO")</f>
        <v>YES</v>
      </c>
      <c r="P238" t="str">
        <f>IF(Cleanedtable[[#This Row],[Parch]]&gt;0,"YES","NO")</f>
        <v>NO</v>
      </c>
    </row>
    <row r="239" spans="1:16" x14ac:dyDescent="0.35">
      <c r="A239">
        <v>1129</v>
      </c>
      <c r="B239">
        <v>0</v>
      </c>
      <c r="C239">
        <v>3</v>
      </c>
      <c r="D239" t="s">
        <v>359</v>
      </c>
      <c r="E239" t="s">
        <v>11</v>
      </c>
      <c r="F239" t="str">
        <f>IF(Cleanedtable[[#This Row],[Age]]&lt;18,"TEEN",IF(Cleanedtable[[#This Row],[Age]]&lt;30,"YOUTH",IF(Cleanedtable[[#This Row],[Age]]&lt;=59,"ADULT",IF(Cleanedtable[[#This Row],[Age]]&gt;=60,"ELDER"))))</f>
        <v>YOUTH</v>
      </c>
      <c r="G239">
        <v>20</v>
      </c>
      <c r="H239">
        <v>0</v>
      </c>
      <c r="I239">
        <v>0</v>
      </c>
      <c r="J239" t="s">
        <v>813</v>
      </c>
      <c r="K239">
        <v>7.2249999999999996</v>
      </c>
      <c r="M239" t="s">
        <v>23</v>
      </c>
      <c r="N239" t="str">
        <f>IF(Cleanedtable[[#This Row],[Age]]&lt;18, "YES","NO")</f>
        <v>NO</v>
      </c>
      <c r="O239" t="str">
        <f>IF(Cleanedtable[[#This Row],[SIBLINGS/SPOUSES]]&gt;0,"YES","NO")</f>
        <v>NO</v>
      </c>
      <c r="P239" t="str">
        <f>IF(Cleanedtable[[#This Row],[Parch]]&gt;0,"YES","NO")</f>
        <v>NO</v>
      </c>
    </row>
    <row r="240" spans="1:16" x14ac:dyDescent="0.35">
      <c r="A240">
        <v>1130</v>
      </c>
      <c r="B240">
        <v>1</v>
      </c>
      <c r="C240">
        <v>2</v>
      </c>
      <c r="D240" t="s">
        <v>360</v>
      </c>
      <c r="E240" t="s">
        <v>14</v>
      </c>
      <c r="F240" t="str">
        <f>IF(Cleanedtable[[#This Row],[Age]]&lt;18,"TEEN",IF(Cleanedtable[[#This Row],[Age]]&lt;30,"YOUTH",IF(Cleanedtable[[#This Row],[Age]]&lt;=59,"ADULT",IF(Cleanedtable[[#This Row],[Age]]&gt;=60,"ELDER"))))</f>
        <v>YOUTH</v>
      </c>
      <c r="G240">
        <v>18</v>
      </c>
      <c r="H240">
        <v>1</v>
      </c>
      <c r="I240">
        <v>1</v>
      </c>
      <c r="J240" t="s">
        <v>814</v>
      </c>
      <c r="K240">
        <v>13</v>
      </c>
      <c r="M240" t="s">
        <v>15</v>
      </c>
      <c r="N240" t="str">
        <f>IF(Cleanedtable[[#This Row],[Age]]&lt;18, "YES","NO")</f>
        <v>NO</v>
      </c>
      <c r="O240" t="str">
        <f>IF(Cleanedtable[[#This Row],[SIBLINGS/SPOUSES]]&gt;0,"YES","NO")</f>
        <v>YES</v>
      </c>
      <c r="P240" t="str">
        <f>IF(Cleanedtable[[#This Row],[Parch]]&gt;0,"YES","NO")</f>
        <v>YES</v>
      </c>
    </row>
    <row r="241" spans="1:16" x14ac:dyDescent="0.35">
      <c r="A241">
        <v>1131</v>
      </c>
      <c r="B241">
        <v>1</v>
      </c>
      <c r="C241">
        <v>1</v>
      </c>
      <c r="D241" t="s">
        <v>361</v>
      </c>
      <c r="E241" t="s">
        <v>14</v>
      </c>
      <c r="F241" t="str">
        <f>IF(Cleanedtable[[#This Row],[Age]]&lt;18,"TEEN",IF(Cleanedtable[[#This Row],[Age]]&lt;30,"YOUTH",IF(Cleanedtable[[#This Row],[Age]]&lt;=59,"ADULT",IF(Cleanedtable[[#This Row],[Age]]&gt;=60,"ELDER"))))</f>
        <v>ADULT</v>
      </c>
      <c r="G241">
        <v>48</v>
      </c>
      <c r="H241">
        <v>1</v>
      </c>
      <c r="I241">
        <v>0</v>
      </c>
      <c r="J241" t="s">
        <v>815</v>
      </c>
      <c r="K241">
        <v>106.425</v>
      </c>
      <c r="L241" t="s">
        <v>363</v>
      </c>
      <c r="M241" t="s">
        <v>23</v>
      </c>
      <c r="N241" t="str">
        <f>IF(Cleanedtable[[#This Row],[Age]]&lt;18, "YES","NO")</f>
        <v>NO</v>
      </c>
      <c r="O241" t="str">
        <f>IF(Cleanedtable[[#This Row],[SIBLINGS/SPOUSES]]&gt;0,"YES","NO")</f>
        <v>YES</v>
      </c>
      <c r="P241" t="str">
        <f>IF(Cleanedtable[[#This Row],[Parch]]&gt;0,"YES","NO")</f>
        <v>NO</v>
      </c>
    </row>
    <row r="242" spans="1:16" x14ac:dyDescent="0.35">
      <c r="A242">
        <v>1132</v>
      </c>
      <c r="B242">
        <v>1</v>
      </c>
      <c r="C242">
        <v>1</v>
      </c>
      <c r="D242" t="s">
        <v>364</v>
      </c>
      <c r="E242" t="s">
        <v>14</v>
      </c>
      <c r="F242" t="str">
        <f>IF(Cleanedtable[[#This Row],[Age]]&lt;18,"TEEN",IF(Cleanedtable[[#This Row],[Age]]&lt;30,"YOUTH",IF(Cleanedtable[[#This Row],[Age]]&lt;=59,"ADULT",IF(Cleanedtable[[#This Row],[Age]]&gt;=60,"ELDER"))))</f>
        <v>ADULT</v>
      </c>
      <c r="G242">
        <v>55</v>
      </c>
      <c r="H242">
        <v>0</v>
      </c>
      <c r="I242">
        <v>0</v>
      </c>
      <c r="J242" t="s">
        <v>816</v>
      </c>
      <c r="K242">
        <v>27.720800000000001</v>
      </c>
      <c r="M242" t="s">
        <v>23</v>
      </c>
      <c r="N242" t="str">
        <f>IF(Cleanedtable[[#This Row],[Age]]&lt;18, "YES","NO")</f>
        <v>NO</v>
      </c>
      <c r="O242" t="str">
        <f>IF(Cleanedtable[[#This Row],[SIBLINGS/SPOUSES]]&gt;0,"YES","NO")</f>
        <v>NO</v>
      </c>
      <c r="P242" t="str">
        <f>IF(Cleanedtable[[#This Row],[Parch]]&gt;0,"YES","NO")</f>
        <v>NO</v>
      </c>
    </row>
    <row r="243" spans="1:16" x14ac:dyDescent="0.35">
      <c r="A243">
        <v>1133</v>
      </c>
      <c r="B243">
        <v>1</v>
      </c>
      <c r="C243">
        <v>2</v>
      </c>
      <c r="D243" t="s">
        <v>365</v>
      </c>
      <c r="E243" t="s">
        <v>14</v>
      </c>
      <c r="F243" t="str">
        <f>IF(Cleanedtable[[#This Row],[Age]]&lt;18,"TEEN",IF(Cleanedtable[[#This Row],[Age]]&lt;30,"YOUTH",IF(Cleanedtable[[#This Row],[Age]]&lt;=59,"ADULT",IF(Cleanedtable[[#This Row],[Age]]&gt;=60,"ELDER"))))</f>
        <v>ADULT</v>
      </c>
      <c r="G243">
        <v>45</v>
      </c>
      <c r="H243">
        <v>0</v>
      </c>
      <c r="I243">
        <v>2</v>
      </c>
      <c r="J243" t="s">
        <v>817</v>
      </c>
      <c r="K243">
        <v>30</v>
      </c>
      <c r="M243" t="s">
        <v>15</v>
      </c>
      <c r="N243" t="str">
        <f>IF(Cleanedtable[[#This Row],[Age]]&lt;18, "YES","NO")</f>
        <v>NO</v>
      </c>
      <c r="O243" t="str">
        <f>IF(Cleanedtable[[#This Row],[SIBLINGS/SPOUSES]]&gt;0,"YES","NO")</f>
        <v>NO</v>
      </c>
      <c r="P243" t="str">
        <f>IF(Cleanedtable[[#This Row],[Parch]]&gt;0,"YES","NO")</f>
        <v>YES</v>
      </c>
    </row>
    <row r="244" spans="1:16" x14ac:dyDescent="0.35">
      <c r="A244">
        <v>1134</v>
      </c>
      <c r="B244">
        <v>0</v>
      </c>
      <c r="C244">
        <v>1</v>
      </c>
      <c r="D244" t="s">
        <v>366</v>
      </c>
      <c r="E244" t="s">
        <v>11</v>
      </c>
      <c r="F244" t="str">
        <f>IF(Cleanedtable[[#This Row],[Age]]&lt;18,"TEEN",IF(Cleanedtable[[#This Row],[Age]]&lt;30,"YOUTH",IF(Cleanedtable[[#This Row],[Age]]&lt;=59,"ADULT",IF(Cleanedtable[[#This Row],[Age]]&gt;=60,"ELDER"))))</f>
        <v>ADULT</v>
      </c>
      <c r="G244">
        <v>45</v>
      </c>
      <c r="H244">
        <v>1</v>
      </c>
      <c r="I244">
        <v>1</v>
      </c>
      <c r="J244" t="s">
        <v>781</v>
      </c>
      <c r="K244">
        <v>134.5</v>
      </c>
      <c r="L244" t="s">
        <v>299</v>
      </c>
      <c r="M244" t="s">
        <v>23</v>
      </c>
      <c r="N244" t="str">
        <f>IF(Cleanedtable[[#This Row],[Age]]&lt;18, "YES","NO")</f>
        <v>NO</v>
      </c>
      <c r="O244" t="str">
        <f>IF(Cleanedtable[[#This Row],[SIBLINGS/SPOUSES]]&gt;0,"YES","NO")</f>
        <v>YES</v>
      </c>
      <c r="P244" t="str">
        <f>IF(Cleanedtable[[#This Row],[Parch]]&gt;0,"YES","NO")</f>
        <v>YES</v>
      </c>
    </row>
    <row r="245" spans="1:16" x14ac:dyDescent="0.35">
      <c r="A245">
        <v>1135</v>
      </c>
      <c r="B245">
        <v>0</v>
      </c>
      <c r="C245">
        <v>3</v>
      </c>
      <c r="D245" t="s">
        <v>367</v>
      </c>
      <c r="E245" t="s">
        <v>11</v>
      </c>
      <c r="F245" t="str">
        <f>IF(Cleanedtable[[#This Row],[Age]]&lt;18,"TEEN",IF(Cleanedtable[[#This Row],[Age]]&lt;30,"YOUTH",IF(Cleanedtable[[#This Row],[Age]]&lt;=59,"ADULT",IF(Cleanedtable[[#This Row],[Age]]&gt;=60,"ELDER"))))</f>
        <v>ADULT</v>
      </c>
      <c r="G245">
        <v>30.2</v>
      </c>
      <c r="H245">
        <v>0</v>
      </c>
      <c r="I245">
        <v>0</v>
      </c>
      <c r="J245" t="s">
        <v>818</v>
      </c>
      <c r="K245">
        <v>7.8875000000000002</v>
      </c>
      <c r="M245" t="s">
        <v>15</v>
      </c>
      <c r="N245" t="str">
        <f>IF(Cleanedtable[[#This Row],[Age]]&lt;18, "YES","NO")</f>
        <v>NO</v>
      </c>
      <c r="O245" t="str">
        <f>IF(Cleanedtable[[#This Row],[SIBLINGS/SPOUSES]]&gt;0,"YES","NO")</f>
        <v>NO</v>
      </c>
      <c r="P245" t="str">
        <f>IF(Cleanedtable[[#This Row],[Parch]]&gt;0,"YES","NO")</f>
        <v>NO</v>
      </c>
    </row>
    <row r="246" spans="1:16" x14ac:dyDescent="0.35">
      <c r="A246">
        <v>1136</v>
      </c>
      <c r="B246">
        <v>0</v>
      </c>
      <c r="C246">
        <v>3</v>
      </c>
      <c r="D246" t="s">
        <v>368</v>
      </c>
      <c r="E246" t="s">
        <v>11</v>
      </c>
      <c r="F246" t="str">
        <f>IF(Cleanedtable[[#This Row],[Age]]&lt;18,"TEEN",IF(Cleanedtable[[#This Row],[Age]]&lt;30,"YOUTH",IF(Cleanedtable[[#This Row],[Age]]&lt;=59,"ADULT",IF(Cleanedtable[[#This Row],[Age]]&gt;=60,"ELDER"))))</f>
        <v>ADULT</v>
      </c>
      <c r="G246">
        <v>30.2</v>
      </c>
      <c r="H246">
        <v>1</v>
      </c>
      <c r="I246">
        <v>2</v>
      </c>
      <c r="J246" t="s">
        <v>67</v>
      </c>
      <c r="K246">
        <v>23.45</v>
      </c>
      <c r="M246" t="s">
        <v>15</v>
      </c>
      <c r="N246" t="str">
        <f>IF(Cleanedtable[[#This Row],[Age]]&lt;18, "YES","NO")</f>
        <v>NO</v>
      </c>
      <c r="O246" t="str">
        <f>IF(Cleanedtable[[#This Row],[SIBLINGS/SPOUSES]]&gt;0,"YES","NO")</f>
        <v>YES</v>
      </c>
      <c r="P246" t="str">
        <f>IF(Cleanedtable[[#This Row],[Parch]]&gt;0,"YES","NO")</f>
        <v>YES</v>
      </c>
    </row>
    <row r="247" spans="1:16" x14ac:dyDescent="0.35">
      <c r="A247">
        <v>1137</v>
      </c>
      <c r="B247">
        <v>0</v>
      </c>
      <c r="C247">
        <v>1</v>
      </c>
      <c r="D247" t="s">
        <v>369</v>
      </c>
      <c r="E247" t="s">
        <v>11</v>
      </c>
      <c r="F247" t="str">
        <f>IF(Cleanedtable[[#This Row],[Age]]&lt;18,"TEEN",IF(Cleanedtable[[#This Row],[Age]]&lt;30,"YOUTH",IF(Cleanedtable[[#This Row],[Age]]&lt;=59,"ADULT",IF(Cleanedtable[[#This Row],[Age]]&gt;=60,"ELDER"))))</f>
        <v>ADULT</v>
      </c>
      <c r="G247">
        <v>41</v>
      </c>
      <c r="H247">
        <v>1</v>
      </c>
      <c r="I247">
        <v>0</v>
      </c>
      <c r="J247" t="s">
        <v>819</v>
      </c>
      <c r="K247">
        <v>51.862499999999997</v>
      </c>
      <c r="L247" t="s">
        <v>370</v>
      </c>
      <c r="M247" t="s">
        <v>15</v>
      </c>
      <c r="N247" t="str">
        <f>IF(Cleanedtable[[#This Row],[Age]]&lt;18, "YES","NO")</f>
        <v>NO</v>
      </c>
      <c r="O247" t="str">
        <f>IF(Cleanedtable[[#This Row],[SIBLINGS/SPOUSES]]&gt;0,"YES","NO")</f>
        <v>YES</v>
      </c>
      <c r="P247" t="str">
        <f>IF(Cleanedtable[[#This Row],[Parch]]&gt;0,"YES","NO")</f>
        <v>NO</v>
      </c>
    </row>
    <row r="248" spans="1:16" x14ac:dyDescent="0.35">
      <c r="A248">
        <v>1138</v>
      </c>
      <c r="B248">
        <v>1</v>
      </c>
      <c r="C248">
        <v>2</v>
      </c>
      <c r="D248" t="s">
        <v>371</v>
      </c>
      <c r="E248" t="s">
        <v>14</v>
      </c>
      <c r="F248" t="str">
        <f>IF(Cleanedtable[[#This Row],[Age]]&lt;18,"TEEN",IF(Cleanedtable[[#This Row],[Age]]&lt;30,"YOUTH",IF(Cleanedtable[[#This Row],[Age]]&lt;=59,"ADULT",IF(Cleanedtable[[#This Row],[Age]]&gt;=60,"ELDER"))))</f>
        <v>YOUTH</v>
      </c>
      <c r="G248">
        <v>22</v>
      </c>
      <c r="H248">
        <v>0</v>
      </c>
      <c r="I248">
        <v>0</v>
      </c>
      <c r="J248" t="s">
        <v>115</v>
      </c>
      <c r="K248">
        <v>21</v>
      </c>
      <c r="M248" t="s">
        <v>15</v>
      </c>
      <c r="N248" t="str">
        <f>IF(Cleanedtable[[#This Row],[Age]]&lt;18, "YES","NO")</f>
        <v>NO</v>
      </c>
      <c r="O248" t="str">
        <f>IF(Cleanedtable[[#This Row],[SIBLINGS/SPOUSES]]&gt;0,"YES","NO")</f>
        <v>NO</v>
      </c>
      <c r="P248" t="str">
        <f>IF(Cleanedtable[[#This Row],[Parch]]&gt;0,"YES","NO")</f>
        <v>NO</v>
      </c>
    </row>
    <row r="249" spans="1:16" x14ac:dyDescent="0.35">
      <c r="A249">
        <v>1139</v>
      </c>
      <c r="B249">
        <v>0</v>
      </c>
      <c r="C249">
        <v>2</v>
      </c>
      <c r="D249" t="s">
        <v>372</v>
      </c>
      <c r="E249" t="s">
        <v>11</v>
      </c>
      <c r="F249" t="str">
        <f>IF(Cleanedtable[[#This Row],[Age]]&lt;18,"TEEN",IF(Cleanedtable[[#This Row],[Age]]&lt;30,"YOUTH",IF(Cleanedtable[[#This Row],[Age]]&lt;=59,"ADULT",IF(Cleanedtable[[#This Row],[Age]]&gt;=60,"ELDER"))))</f>
        <v>ADULT</v>
      </c>
      <c r="G249">
        <v>42</v>
      </c>
      <c r="H249">
        <v>1</v>
      </c>
      <c r="I249">
        <v>1</v>
      </c>
      <c r="J249" t="s">
        <v>779</v>
      </c>
      <c r="K249">
        <v>32.5</v>
      </c>
      <c r="M249" t="s">
        <v>15</v>
      </c>
      <c r="N249" t="str">
        <f>IF(Cleanedtable[[#This Row],[Age]]&lt;18, "YES","NO")</f>
        <v>NO</v>
      </c>
      <c r="O249" t="str">
        <f>IF(Cleanedtable[[#This Row],[SIBLINGS/SPOUSES]]&gt;0,"YES","NO")</f>
        <v>YES</v>
      </c>
      <c r="P249" t="str">
        <f>IF(Cleanedtable[[#This Row],[Parch]]&gt;0,"YES","NO")</f>
        <v>YES</v>
      </c>
    </row>
    <row r="250" spans="1:16" x14ac:dyDescent="0.35">
      <c r="A250">
        <v>1140</v>
      </c>
      <c r="B250">
        <v>1</v>
      </c>
      <c r="C250">
        <v>2</v>
      </c>
      <c r="D250" t="s">
        <v>373</v>
      </c>
      <c r="E250" t="s">
        <v>14</v>
      </c>
      <c r="F250" t="str">
        <f>IF(Cleanedtable[[#This Row],[Age]]&lt;18,"TEEN",IF(Cleanedtable[[#This Row],[Age]]&lt;30,"YOUTH",IF(Cleanedtable[[#This Row],[Age]]&lt;=59,"ADULT",IF(Cleanedtable[[#This Row],[Age]]&gt;=60,"ELDER"))))</f>
        <v>YOUTH</v>
      </c>
      <c r="G250">
        <v>29</v>
      </c>
      <c r="H250">
        <v>1</v>
      </c>
      <c r="I250">
        <v>0</v>
      </c>
      <c r="J250" t="s">
        <v>820</v>
      </c>
      <c r="K250">
        <v>26</v>
      </c>
      <c r="M250" t="s">
        <v>15</v>
      </c>
      <c r="N250" t="str">
        <f>IF(Cleanedtable[[#This Row],[Age]]&lt;18, "YES","NO")</f>
        <v>NO</v>
      </c>
      <c r="O250" t="str">
        <f>IF(Cleanedtable[[#This Row],[SIBLINGS/SPOUSES]]&gt;0,"YES","NO")</f>
        <v>YES</v>
      </c>
      <c r="P250" t="str">
        <f>IF(Cleanedtable[[#This Row],[Parch]]&gt;0,"YES","NO")</f>
        <v>NO</v>
      </c>
    </row>
    <row r="251" spans="1:16" x14ac:dyDescent="0.35">
      <c r="A251">
        <v>1141</v>
      </c>
      <c r="B251">
        <v>1</v>
      </c>
      <c r="C251">
        <v>3</v>
      </c>
      <c r="D251" t="s">
        <v>374</v>
      </c>
      <c r="E251" t="s">
        <v>14</v>
      </c>
      <c r="F251" t="str">
        <f>IF(Cleanedtable[[#This Row],[Age]]&lt;18,"TEEN",IF(Cleanedtable[[#This Row],[Age]]&lt;30,"YOUTH",IF(Cleanedtable[[#This Row],[Age]]&lt;=59,"ADULT",IF(Cleanedtable[[#This Row],[Age]]&gt;=60,"ELDER"))))</f>
        <v>ADULT</v>
      </c>
      <c r="G251">
        <v>30.2</v>
      </c>
      <c r="H251">
        <v>1</v>
      </c>
      <c r="I251">
        <v>0</v>
      </c>
      <c r="J251" t="s">
        <v>691</v>
      </c>
      <c r="K251">
        <v>14.4542</v>
      </c>
      <c r="M251" t="s">
        <v>23</v>
      </c>
      <c r="N251" t="str">
        <f>IF(Cleanedtable[[#This Row],[Age]]&lt;18, "YES","NO")</f>
        <v>NO</v>
      </c>
      <c r="O251" t="str">
        <f>IF(Cleanedtable[[#This Row],[SIBLINGS/SPOUSES]]&gt;0,"YES","NO")</f>
        <v>YES</v>
      </c>
      <c r="P251" t="str">
        <f>IF(Cleanedtable[[#This Row],[Parch]]&gt;0,"YES","NO")</f>
        <v>NO</v>
      </c>
    </row>
    <row r="252" spans="1:16" x14ac:dyDescent="0.35">
      <c r="A252">
        <v>1142</v>
      </c>
      <c r="B252">
        <v>1</v>
      </c>
      <c r="C252">
        <v>2</v>
      </c>
      <c r="D252" t="s">
        <v>375</v>
      </c>
      <c r="E252" t="s">
        <v>14</v>
      </c>
      <c r="F252" t="str">
        <f>IF(Cleanedtable[[#This Row],[Age]]&lt;18,"TEEN",IF(Cleanedtable[[#This Row],[Age]]&lt;30,"YOUTH",IF(Cleanedtable[[#This Row],[Age]]&lt;=59,"ADULT",IF(Cleanedtable[[#This Row],[Age]]&gt;=60,"ELDER"))))</f>
        <v>TEEN</v>
      </c>
      <c r="G252">
        <v>0.92</v>
      </c>
      <c r="H252">
        <v>1</v>
      </c>
      <c r="I252">
        <v>2</v>
      </c>
      <c r="J252" t="s">
        <v>376</v>
      </c>
      <c r="K252">
        <v>27.75</v>
      </c>
      <c r="M252" t="s">
        <v>15</v>
      </c>
      <c r="N252" t="str">
        <f>IF(Cleanedtable[[#This Row],[Age]]&lt;18, "YES","NO")</f>
        <v>YES</v>
      </c>
      <c r="O252" t="str">
        <f>IF(Cleanedtable[[#This Row],[SIBLINGS/SPOUSES]]&gt;0,"YES","NO")</f>
        <v>YES</v>
      </c>
      <c r="P252" t="str">
        <f>IF(Cleanedtable[[#This Row],[Parch]]&gt;0,"YES","NO")</f>
        <v>YES</v>
      </c>
    </row>
    <row r="253" spans="1:16" x14ac:dyDescent="0.35">
      <c r="A253">
        <v>1143</v>
      </c>
      <c r="B253">
        <v>0</v>
      </c>
      <c r="C253">
        <v>3</v>
      </c>
      <c r="D253" t="s">
        <v>377</v>
      </c>
      <c r="E253" t="s">
        <v>11</v>
      </c>
      <c r="F253" t="str">
        <f>IF(Cleanedtable[[#This Row],[Age]]&lt;18,"TEEN",IF(Cleanedtable[[#This Row],[Age]]&lt;30,"YOUTH",IF(Cleanedtable[[#This Row],[Age]]&lt;=59,"ADULT",IF(Cleanedtable[[#This Row],[Age]]&gt;=60,"ELDER"))))</f>
        <v>YOUTH</v>
      </c>
      <c r="G253">
        <v>20</v>
      </c>
      <c r="H253">
        <v>0</v>
      </c>
      <c r="I253">
        <v>0</v>
      </c>
      <c r="J253" t="s">
        <v>821</v>
      </c>
      <c r="K253">
        <v>7.9249999999999998</v>
      </c>
      <c r="M253" t="s">
        <v>15</v>
      </c>
      <c r="N253" t="str">
        <f>IF(Cleanedtable[[#This Row],[Age]]&lt;18, "YES","NO")</f>
        <v>NO</v>
      </c>
      <c r="O253" t="str">
        <f>IF(Cleanedtable[[#This Row],[SIBLINGS/SPOUSES]]&gt;0,"YES","NO")</f>
        <v>NO</v>
      </c>
      <c r="P253" t="str">
        <f>IF(Cleanedtable[[#This Row],[Parch]]&gt;0,"YES","NO")</f>
        <v>NO</v>
      </c>
    </row>
    <row r="254" spans="1:16" x14ac:dyDescent="0.35">
      <c r="A254">
        <v>1144</v>
      </c>
      <c r="B254">
        <v>0</v>
      </c>
      <c r="C254">
        <v>1</v>
      </c>
      <c r="D254" t="s">
        <v>379</v>
      </c>
      <c r="E254" t="s">
        <v>11</v>
      </c>
      <c r="F254" t="str">
        <f>IF(Cleanedtable[[#This Row],[Age]]&lt;18,"TEEN",IF(Cleanedtable[[#This Row],[Age]]&lt;30,"YOUTH",IF(Cleanedtable[[#This Row],[Age]]&lt;=59,"ADULT",IF(Cleanedtable[[#This Row],[Age]]&gt;=60,"ELDER"))))</f>
        <v>YOUTH</v>
      </c>
      <c r="G254">
        <v>27</v>
      </c>
      <c r="H254">
        <v>1</v>
      </c>
      <c r="I254">
        <v>0</v>
      </c>
      <c r="J254" t="s">
        <v>822</v>
      </c>
      <c r="K254">
        <v>136.7792</v>
      </c>
      <c r="L254" t="s">
        <v>380</v>
      </c>
      <c r="M254" t="s">
        <v>23</v>
      </c>
      <c r="N254" t="str">
        <f>IF(Cleanedtable[[#This Row],[Age]]&lt;18, "YES","NO")</f>
        <v>NO</v>
      </c>
      <c r="O254" t="str">
        <f>IF(Cleanedtable[[#This Row],[SIBLINGS/SPOUSES]]&gt;0,"YES","NO")</f>
        <v>YES</v>
      </c>
      <c r="P254" t="str">
        <f>IF(Cleanedtable[[#This Row],[Parch]]&gt;0,"YES","NO")</f>
        <v>NO</v>
      </c>
    </row>
    <row r="255" spans="1:16" x14ac:dyDescent="0.35">
      <c r="A255">
        <v>1145</v>
      </c>
      <c r="B255">
        <v>0</v>
      </c>
      <c r="C255">
        <v>3</v>
      </c>
      <c r="D255" t="s">
        <v>381</v>
      </c>
      <c r="E255" t="s">
        <v>11</v>
      </c>
      <c r="F255" t="str">
        <f>IF(Cleanedtable[[#This Row],[Age]]&lt;18,"TEEN",IF(Cleanedtable[[#This Row],[Age]]&lt;30,"YOUTH",IF(Cleanedtable[[#This Row],[Age]]&lt;=59,"ADULT",IF(Cleanedtable[[#This Row],[Age]]&gt;=60,"ELDER"))))</f>
        <v>YOUTH</v>
      </c>
      <c r="G255">
        <v>24</v>
      </c>
      <c r="H255">
        <v>0</v>
      </c>
      <c r="I255">
        <v>0</v>
      </c>
      <c r="J255" t="s">
        <v>823</v>
      </c>
      <c r="K255">
        <v>9.3249999999999993</v>
      </c>
      <c r="M255" t="s">
        <v>15</v>
      </c>
      <c r="N255" t="str">
        <f>IF(Cleanedtable[[#This Row],[Age]]&lt;18, "YES","NO")</f>
        <v>NO</v>
      </c>
      <c r="O255" t="str">
        <f>IF(Cleanedtable[[#This Row],[SIBLINGS/SPOUSES]]&gt;0,"YES","NO")</f>
        <v>NO</v>
      </c>
      <c r="P255" t="str">
        <f>IF(Cleanedtable[[#This Row],[Parch]]&gt;0,"YES","NO")</f>
        <v>NO</v>
      </c>
    </row>
    <row r="256" spans="1:16" x14ac:dyDescent="0.35">
      <c r="A256">
        <v>1146</v>
      </c>
      <c r="B256">
        <v>0</v>
      </c>
      <c r="C256">
        <v>3</v>
      </c>
      <c r="D256" t="s">
        <v>382</v>
      </c>
      <c r="E256" t="s">
        <v>11</v>
      </c>
      <c r="F256" t="str">
        <f>IF(Cleanedtable[[#This Row],[Age]]&lt;18,"TEEN",IF(Cleanedtable[[#This Row],[Age]]&lt;30,"YOUTH",IF(Cleanedtable[[#This Row],[Age]]&lt;=59,"ADULT",IF(Cleanedtable[[#This Row],[Age]]&gt;=60,"ELDER"))))</f>
        <v>ADULT</v>
      </c>
      <c r="G256">
        <v>32.5</v>
      </c>
      <c r="H256">
        <v>0</v>
      </c>
      <c r="I256">
        <v>0</v>
      </c>
      <c r="J256" t="s">
        <v>824</v>
      </c>
      <c r="K256">
        <v>9.5</v>
      </c>
      <c r="M256" t="s">
        <v>15</v>
      </c>
      <c r="N256" t="str">
        <f>IF(Cleanedtable[[#This Row],[Age]]&lt;18, "YES","NO")</f>
        <v>NO</v>
      </c>
      <c r="O256" t="str">
        <f>IF(Cleanedtable[[#This Row],[SIBLINGS/SPOUSES]]&gt;0,"YES","NO")</f>
        <v>NO</v>
      </c>
      <c r="P256" t="str">
        <f>IF(Cleanedtable[[#This Row],[Parch]]&gt;0,"YES","NO")</f>
        <v>NO</v>
      </c>
    </row>
    <row r="257" spans="1:16" x14ac:dyDescent="0.35">
      <c r="A257">
        <v>1147</v>
      </c>
      <c r="B257">
        <v>0</v>
      </c>
      <c r="C257">
        <v>3</v>
      </c>
      <c r="D257" t="s">
        <v>383</v>
      </c>
      <c r="E257" t="s">
        <v>11</v>
      </c>
      <c r="F257" t="str">
        <f>IF(Cleanedtable[[#This Row],[Age]]&lt;18,"TEEN",IF(Cleanedtable[[#This Row],[Age]]&lt;30,"YOUTH",IF(Cleanedtable[[#This Row],[Age]]&lt;=59,"ADULT",IF(Cleanedtable[[#This Row],[Age]]&gt;=60,"ELDER"))))</f>
        <v>ADULT</v>
      </c>
      <c r="G257">
        <v>30.2</v>
      </c>
      <c r="H257">
        <v>0</v>
      </c>
      <c r="I257">
        <v>0</v>
      </c>
      <c r="J257" t="s">
        <v>384</v>
      </c>
      <c r="K257">
        <v>7.55</v>
      </c>
      <c r="M257" t="s">
        <v>15</v>
      </c>
      <c r="N257" t="str">
        <f>IF(Cleanedtable[[#This Row],[Age]]&lt;18, "YES","NO")</f>
        <v>NO</v>
      </c>
      <c r="O257" t="str">
        <f>IF(Cleanedtable[[#This Row],[SIBLINGS/SPOUSES]]&gt;0,"YES","NO")</f>
        <v>NO</v>
      </c>
      <c r="P257" t="str">
        <f>IF(Cleanedtable[[#This Row],[Parch]]&gt;0,"YES","NO")</f>
        <v>NO</v>
      </c>
    </row>
    <row r="258" spans="1:16" x14ac:dyDescent="0.35">
      <c r="A258">
        <v>1148</v>
      </c>
      <c r="B258">
        <v>0</v>
      </c>
      <c r="C258">
        <v>3</v>
      </c>
      <c r="D258" t="s">
        <v>385</v>
      </c>
      <c r="E258" t="s">
        <v>11</v>
      </c>
      <c r="F258" t="str">
        <f>IF(Cleanedtable[[#This Row],[Age]]&lt;18,"TEEN",IF(Cleanedtable[[#This Row],[Age]]&lt;30,"YOUTH",IF(Cleanedtable[[#This Row],[Age]]&lt;=59,"ADULT",IF(Cleanedtable[[#This Row],[Age]]&gt;=60,"ELDER"))))</f>
        <v>ADULT</v>
      </c>
      <c r="G258">
        <v>30.2</v>
      </c>
      <c r="H258">
        <v>0</v>
      </c>
      <c r="I258">
        <v>0</v>
      </c>
      <c r="J258" t="s">
        <v>825</v>
      </c>
      <c r="K258">
        <v>7.75</v>
      </c>
      <c r="M258" t="s">
        <v>12</v>
      </c>
      <c r="N258" t="str">
        <f>IF(Cleanedtable[[#This Row],[Age]]&lt;18, "YES","NO")</f>
        <v>NO</v>
      </c>
      <c r="O258" t="str">
        <f>IF(Cleanedtable[[#This Row],[SIBLINGS/SPOUSES]]&gt;0,"YES","NO")</f>
        <v>NO</v>
      </c>
      <c r="P258" t="str">
        <f>IF(Cleanedtable[[#This Row],[Parch]]&gt;0,"YES","NO")</f>
        <v>NO</v>
      </c>
    </row>
    <row r="259" spans="1:16" x14ac:dyDescent="0.35">
      <c r="A259">
        <v>1149</v>
      </c>
      <c r="B259">
        <v>0</v>
      </c>
      <c r="C259">
        <v>3</v>
      </c>
      <c r="D259" t="s">
        <v>387</v>
      </c>
      <c r="E259" t="s">
        <v>11</v>
      </c>
      <c r="F259" t="str">
        <f>IF(Cleanedtable[[#This Row],[Age]]&lt;18,"TEEN",IF(Cleanedtable[[#This Row],[Age]]&lt;30,"YOUTH",IF(Cleanedtable[[#This Row],[Age]]&lt;=59,"ADULT",IF(Cleanedtable[[#This Row],[Age]]&gt;=60,"ELDER"))))</f>
        <v>YOUTH</v>
      </c>
      <c r="G259">
        <v>28</v>
      </c>
      <c r="H259">
        <v>0</v>
      </c>
      <c r="I259">
        <v>0</v>
      </c>
      <c r="J259" t="s">
        <v>826</v>
      </c>
      <c r="K259">
        <v>8.0500000000000007</v>
      </c>
      <c r="M259" t="s">
        <v>15</v>
      </c>
      <c r="N259" t="str">
        <f>IF(Cleanedtable[[#This Row],[Age]]&lt;18, "YES","NO")</f>
        <v>NO</v>
      </c>
      <c r="O259" t="str">
        <f>IF(Cleanedtable[[#This Row],[SIBLINGS/SPOUSES]]&gt;0,"YES","NO")</f>
        <v>NO</v>
      </c>
      <c r="P259" t="str">
        <f>IF(Cleanedtable[[#This Row],[Parch]]&gt;0,"YES","NO")</f>
        <v>NO</v>
      </c>
    </row>
    <row r="260" spans="1:16" x14ac:dyDescent="0.35">
      <c r="A260">
        <v>1150</v>
      </c>
      <c r="B260">
        <v>1</v>
      </c>
      <c r="C260">
        <v>2</v>
      </c>
      <c r="D260" t="s">
        <v>388</v>
      </c>
      <c r="E260" t="s">
        <v>14</v>
      </c>
      <c r="F260" t="str">
        <f>IF(Cleanedtable[[#This Row],[Age]]&lt;18,"TEEN",IF(Cleanedtable[[#This Row],[Age]]&lt;30,"YOUTH",IF(Cleanedtable[[#This Row],[Age]]&lt;=59,"ADULT",IF(Cleanedtable[[#This Row],[Age]]&gt;=60,"ELDER"))))</f>
        <v>YOUTH</v>
      </c>
      <c r="G260">
        <v>19</v>
      </c>
      <c r="H260">
        <v>0</v>
      </c>
      <c r="I260">
        <v>0</v>
      </c>
      <c r="J260" t="s">
        <v>827</v>
      </c>
      <c r="K260">
        <v>13</v>
      </c>
      <c r="M260" t="s">
        <v>15</v>
      </c>
      <c r="N260" t="str">
        <f>IF(Cleanedtable[[#This Row],[Age]]&lt;18, "YES","NO")</f>
        <v>NO</v>
      </c>
      <c r="O260" t="str">
        <f>IF(Cleanedtable[[#This Row],[SIBLINGS/SPOUSES]]&gt;0,"YES","NO")</f>
        <v>NO</v>
      </c>
      <c r="P260" t="str">
        <f>IF(Cleanedtable[[#This Row],[Parch]]&gt;0,"YES","NO")</f>
        <v>NO</v>
      </c>
    </row>
    <row r="261" spans="1:16" x14ac:dyDescent="0.35">
      <c r="A261">
        <v>1151</v>
      </c>
      <c r="B261">
        <v>0</v>
      </c>
      <c r="C261">
        <v>3</v>
      </c>
      <c r="D261" t="s">
        <v>389</v>
      </c>
      <c r="E261" t="s">
        <v>11</v>
      </c>
      <c r="F261" t="str">
        <f>IF(Cleanedtable[[#This Row],[Age]]&lt;18,"TEEN",IF(Cleanedtable[[#This Row],[Age]]&lt;30,"YOUTH",IF(Cleanedtable[[#This Row],[Age]]&lt;=59,"ADULT",IF(Cleanedtable[[#This Row],[Age]]&gt;=60,"ELDER"))))</f>
        <v>YOUTH</v>
      </c>
      <c r="G261">
        <v>21</v>
      </c>
      <c r="H261">
        <v>0</v>
      </c>
      <c r="I261">
        <v>0</v>
      </c>
      <c r="J261" t="s">
        <v>828</v>
      </c>
      <c r="K261">
        <v>7.7750000000000004</v>
      </c>
      <c r="M261" t="s">
        <v>15</v>
      </c>
      <c r="N261" t="str">
        <f>IF(Cleanedtable[[#This Row],[Age]]&lt;18, "YES","NO")</f>
        <v>NO</v>
      </c>
      <c r="O261" t="str">
        <f>IF(Cleanedtable[[#This Row],[SIBLINGS/SPOUSES]]&gt;0,"YES","NO")</f>
        <v>NO</v>
      </c>
      <c r="P261" t="str">
        <f>IF(Cleanedtable[[#This Row],[Parch]]&gt;0,"YES","NO")</f>
        <v>NO</v>
      </c>
    </row>
    <row r="262" spans="1:16" x14ac:dyDescent="0.35">
      <c r="A262">
        <v>1152</v>
      </c>
      <c r="B262">
        <v>0</v>
      </c>
      <c r="C262">
        <v>3</v>
      </c>
      <c r="D262" t="s">
        <v>390</v>
      </c>
      <c r="E262" t="s">
        <v>11</v>
      </c>
      <c r="F262" t="str">
        <f>IF(Cleanedtable[[#This Row],[Age]]&lt;18,"TEEN",IF(Cleanedtable[[#This Row],[Age]]&lt;30,"YOUTH",IF(Cleanedtable[[#This Row],[Age]]&lt;=59,"ADULT",IF(Cleanedtable[[#This Row],[Age]]&gt;=60,"ELDER"))))</f>
        <v>ADULT</v>
      </c>
      <c r="G262">
        <v>36.5</v>
      </c>
      <c r="H262">
        <v>1</v>
      </c>
      <c r="I262">
        <v>0</v>
      </c>
      <c r="J262" t="s">
        <v>829</v>
      </c>
      <c r="K262">
        <v>17.399999999999999</v>
      </c>
      <c r="M262" t="s">
        <v>15</v>
      </c>
      <c r="N262" t="str">
        <f>IF(Cleanedtable[[#This Row],[Age]]&lt;18, "YES","NO")</f>
        <v>NO</v>
      </c>
      <c r="O262" t="str">
        <f>IF(Cleanedtable[[#This Row],[SIBLINGS/SPOUSES]]&gt;0,"YES","NO")</f>
        <v>YES</v>
      </c>
      <c r="P262" t="str">
        <f>IF(Cleanedtable[[#This Row],[Parch]]&gt;0,"YES","NO")</f>
        <v>NO</v>
      </c>
    </row>
    <row r="263" spans="1:16" x14ac:dyDescent="0.35">
      <c r="A263">
        <v>1153</v>
      </c>
      <c r="B263">
        <v>0</v>
      </c>
      <c r="C263">
        <v>3</v>
      </c>
      <c r="D263" t="s">
        <v>391</v>
      </c>
      <c r="E263" t="s">
        <v>11</v>
      </c>
      <c r="F263" t="str">
        <f>IF(Cleanedtable[[#This Row],[Age]]&lt;18,"TEEN",IF(Cleanedtable[[#This Row],[Age]]&lt;30,"YOUTH",IF(Cleanedtable[[#This Row],[Age]]&lt;=59,"ADULT",IF(Cleanedtable[[#This Row],[Age]]&gt;=60,"ELDER"))))</f>
        <v>YOUTH</v>
      </c>
      <c r="G263">
        <v>21</v>
      </c>
      <c r="H263">
        <v>0</v>
      </c>
      <c r="I263">
        <v>0</v>
      </c>
      <c r="J263" t="s">
        <v>830</v>
      </c>
      <c r="K263">
        <v>7.8541999999999996</v>
      </c>
      <c r="M263" t="s">
        <v>15</v>
      </c>
      <c r="N263" t="str">
        <f>IF(Cleanedtable[[#This Row],[Age]]&lt;18, "YES","NO")</f>
        <v>NO</v>
      </c>
      <c r="O263" t="str">
        <f>IF(Cleanedtable[[#This Row],[SIBLINGS/SPOUSES]]&gt;0,"YES","NO")</f>
        <v>NO</v>
      </c>
      <c r="P263" t="str">
        <f>IF(Cleanedtable[[#This Row],[Parch]]&gt;0,"YES","NO")</f>
        <v>NO</v>
      </c>
    </row>
    <row r="264" spans="1:16" x14ac:dyDescent="0.35">
      <c r="A264">
        <v>1154</v>
      </c>
      <c r="B264">
        <v>1</v>
      </c>
      <c r="C264">
        <v>2</v>
      </c>
      <c r="D264" t="s">
        <v>392</v>
      </c>
      <c r="E264" t="s">
        <v>14</v>
      </c>
      <c r="F264" t="str">
        <f>IF(Cleanedtable[[#This Row],[Age]]&lt;18,"TEEN",IF(Cleanedtable[[#This Row],[Age]]&lt;30,"YOUTH",IF(Cleanedtable[[#This Row],[Age]]&lt;=59,"ADULT",IF(Cleanedtable[[#This Row],[Age]]&gt;=60,"ELDER"))))</f>
        <v>YOUTH</v>
      </c>
      <c r="G264">
        <v>29</v>
      </c>
      <c r="H264">
        <v>0</v>
      </c>
      <c r="I264">
        <v>2</v>
      </c>
      <c r="J264" t="s">
        <v>694</v>
      </c>
      <c r="K264">
        <v>23</v>
      </c>
      <c r="M264" t="s">
        <v>15</v>
      </c>
      <c r="N264" t="str">
        <f>IF(Cleanedtable[[#This Row],[Age]]&lt;18, "YES","NO")</f>
        <v>NO</v>
      </c>
      <c r="O264" t="str">
        <f>IF(Cleanedtable[[#This Row],[SIBLINGS/SPOUSES]]&gt;0,"YES","NO")</f>
        <v>NO</v>
      </c>
      <c r="P264" t="str">
        <f>IF(Cleanedtable[[#This Row],[Parch]]&gt;0,"YES","NO")</f>
        <v>YES</v>
      </c>
    </row>
    <row r="265" spans="1:16" x14ac:dyDescent="0.35">
      <c r="A265">
        <v>1155</v>
      </c>
      <c r="B265">
        <v>1</v>
      </c>
      <c r="C265">
        <v>3</v>
      </c>
      <c r="D265" t="s">
        <v>393</v>
      </c>
      <c r="E265" t="s">
        <v>14</v>
      </c>
      <c r="F265" t="str">
        <f>IF(Cleanedtable[[#This Row],[Age]]&lt;18,"TEEN",IF(Cleanedtable[[#This Row],[Age]]&lt;30,"YOUTH",IF(Cleanedtable[[#This Row],[Age]]&lt;=59,"ADULT",IF(Cleanedtable[[#This Row],[Age]]&gt;=60,"ELDER"))))</f>
        <v>TEEN</v>
      </c>
      <c r="G265">
        <v>1</v>
      </c>
      <c r="H265">
        <v>1</v>
      </c>
      <c r="I265">
        <v>1</v>
      </c>
      <c r="J265" t="s">
        <v>750</v>
      </c>
      <c r="K265">
        <v>12.183299999999999</v>
      </c>
      <c r="M265" t="s">
        <v>15</v>
      </c>
      <c r="N265" t="str">
        <f>IF(Cleanedtable[[#This Row],[Age]]&lt;18, "YES","NO")</f>
        <v>YES</v>
      </c>
      <c r="O265" t="str">
        <f>IF(Cleanedtable[[#This Row],[SIBLINGS/SPOUSES]]&gt;0,"YES","NO")</f>
        <v>YES</v>
      </c>
      <c r="P265" t="str">
        <f>IF(Cleanedtable[[#This Row],[Parch]]&gt;0,"YES","NO")</f>
        <v>YES</v>
      </c>
    </row>
    <row r="266" spans="1:16" x14ac:dyDescent="0.35">
      <c r="A266">
        <v>1156</v>
      </c>
      <c r="B266">
        <v>0</v>
      </c>
      <c r="C266">
        <v>2</v>
      </c>
      <c r="D266" t="s">
        <v>394</v>
      </c>
      <c r="E266" t="s">
        <v>11</v>
      </c>
      <c r="F266" t="str">
        <f>IF(Cleanedtable[[#This Row],[Age]]&lt;18,"TEEN",IF(Cleanedtable[[#This Row],[Age]]&lt;30,"YOUTH",IF(Cleanedtable[[#This Row],[Age]]&lt;=59,"ADULT",IF(Cleanedtable[[#This Row],[Age]]&gt;=60,"ELDER"))))</f>
        <v>ADULT</v>
      </c>
      <c r="G266">
        <v>30</v>
      </c>
      <c r="H266">
        <v>0</v>
      </c>
      <c r="I266">
        <v>0</v>
      </c>
      <c r="J266" t="s">
        <v>395</v>
      </c>
      <c r="K266">
        <v>12.737500000000001</v>
      </c>
      <c r="M266" t="s">
        <v>23</v>
      </c>
      <c r="N266" t="str">
        <f>IF(Cleanedtable[[#This Row],[Age]]&lt;18, "YES","NO")</f>
        <v>NO</v>
      </c>
      <c r="O266" t="str">
        <f>IF(Cleanedtable[[#This Row],[SIBLINGS/SPOUSES]]&gt;0,"YES","NO")</f>
        <v>NO</v>
      </c>
      <c r="P266" t="str">
        <f>IF(Cleanedtable[[#This Row],[Parch]]&gt;0,"YES","NO")</f>
        <v>NO</v>
      </c>
    </row>
    <row r="267" spans="1:16" x14ac:dyDescent="0.35">
      <c r="A267">
        <v>1157</v>
      </c>
      <c r="B267">
        <v>0</v>
      </c>
      <c r="C267">
        <v>3</v>
      </c>
      <c r="D267" t="s">
        <v>396</v>
      </c>
      <c r="E267" t="s">
        <v>11</v>
      </c>
      <c r="F267" t="str">
        <f>IF(Cleanedtable[[#This Row],[Age]]&lt;18,"TEEN",IF(Cleanedtable[[#This Row],[Age]]&lt;30,"YOUTH",IF(Cleanedtable[[#This Row],[Age]]&lt;=59,"ADULT",IF(Cleanedtable[[#This Row],[Age]]&gt;=60,"ELDER"))))</f>
        <v>ADULT</v>
      </c>
      <c r="G267">
        <v>30.2</v>
      </c>
      <c r="H267">
        <v>0</v>
      </c>
      <c r="I267">
        <v>0</v>
      </c>
      <c r="J267" t="s">
        <v>831</v>
      </c>
      <c r="K267">
        <v>7.8958000000000004</v>
      </c>
      <c r="M267" t="s">
        <v>15</v>
      </c>
      <c r="N267" t="str">
        <f>IF(Cleanedtable[[#This Row],[Age]]&lt;18, "YES","NO")</f>
        <v>NO</v>
      </c>
      <c r="O267" t="str">
        <f>IF(Cleanedtable[[#This Row],[SIBLINGS/SPOUSES]]&gt;0,"YES","NO")</f>
        <v>NO</v>
      </c>
      <c r="P267" t="str">
        <f>IF(Cleanedtable[[#This Row],[Parch]]&gt;0,"YES","NO")</f>
        <v>NO</v>
      </c>
    </row>
    <row r="268" spans="1:16" x14ac:dyDescent="0.35">
      <c r="A268">
        <v>1158</v>
      </c>
      <c r="B268">
        <v>0</v>
      </c>
      <c r="C268">
        <v>1</v>
      </c>
      <c r="D268" t="s">
        <v>397</v>
      </c>
      <c r="E268" t="s">
        <v>11</v>
      </c>
      <c r="F268" t="str">
        <f>IF(Cleanedtable[[#This Row],[Age]]&lt;18,"TEEN",IF(Cleanedtable[[#This Row],[Age]]&lt;30,"YOUTH",IF(Cleanedtable[[#This Row],[Age]]&lt;=59,"ADULT",IF(Cleanedtable[[#This Row],[Age]]&gt;=60,"ELDER"))))</f>
        <v>ADULT</v>
      </c>
      <c r="G268">
        <v>30.2</v>
      </c>
      <c r="H268">
        <v>0</v>
      </c>
      <c r="I268">
        <v>0</v>
      </c>
      <c r="J268" t="s">
        <v>832</v>
      </c>
      <c r="K268">
        <v>0</v>
      </c>
      <c r="M268" t="s">
        <v>15</v>
      </c>
      <c r="N268" t="str">
        <f>IF(Cleanedtable[[#This Row],[Age]]&lt;18, "YES","NO")</f>
        <v>NO</v>
      </c>
      <c r="O268" t="str">
        <f>IF(Cleanedtable[[#This Row],[SIBLINGS/SPOUSES]]&gt;0,"YES","NO")</f>
        <v>NO</v>
      </c>
      <c r="P268" t="str">
        <f>IF(Cleanedtable[[#This Row],[Parch]]&gt;0,"YES","NO")</f>
        <v>NO</v>
      </c>
    </row>
    <row r="269" spans="1:16" x14ac:dyDescent="0.35">
      <c r="A269">
        <v>1159</v>
      </c>
      <c r="B269">
        <v>0</v>
      </c>
      <c r="C269">
        <v>3</v>
      </c>
      <c r="D269" t="s">
        <v>398</v>
      </c>
      <c r="E269" t="s">
        <v>11</v>
      </c>
      <c r="F269" t="str">
        <f>IF(Cleanedtable[[#This Row],[Age]]&lt;18,"TEEN",IF(Cleanedtable[[#This Row],[Age]]&lt;30,"YOUTH",IF(Cleanedtable[[#This Row],[Age]]&lt;=59,"ADULT",IF(Cleanedtable[[#This Row],[Age]]&gt;=60,"ELDER"))))</f>
        <v>ADULT</v>
      </c>
      <c r="G269">
        <v>30.2</v>
      </c>
      <c r="H269">
        <v>0</v>
      </c>
      <c r="I269">
        <v>0</v>
      </c>
      <c r="J269" t="s">
        <v>399</v>
      </c>
      <c r="K269">
        <v>7.55</v>
      </c>
      <c r="M269" t="s">
        <v>15</v>
      </c>
      <c r="N269" t="str">
        <f>IF(Cleanedtable[[#This Row],[Age]]&lt;18, "YES","NO")</f>
        <v>NO</v>
      </c>
      <c r="O269" t="str">
        <f>IF(Cleanedtable[[#This Row],[SIBLINGS/SPOUSES]]&gt;0,"YES","NO")</f>
        <v>NO</v>
      </c>
      <c r="P269" t="str">
        <f>IF(Cleanedtable[[#This Row],[Parch]]&gt;0,"YES","NO")</f>
        <v>NO</v>
      </c>
    </row>
    <row r="270" spans="1:16" x14ac:dyDescent="0.35">
      <c r="A270">
        <v>1160</v>
      </c>
      <c r="B270">
        <v>1</v>
      </c>
      <c r="C270">
        <v>3</v>
      </c>
      <c r="D270" t="s">
        <v>400</v>
      </c>
      <c r="E270" t="s">
        <v>14</v>
      </c>
      <c r="F270" t="str">
        <f>IF(Cleanedtable[[#This Row],[Age]]&lt;18,"TEEN",IF(Cleanedtable[[#This Row],[Age]]&lt;30,"YOUTH",IF(Cleanedtable[[#This Row],[Age]]&lt;=59,"ADULT",IF(Cleanedtable[[#This Row],[Age]]&gt;=60,"ELDER"))))</f>
        <v>ADULT</v>
      </c>
      <c r="G270">
        <v>30.2</v>
      </c>
      <c r="H270">
        <v>0</v>
      </c>
      <c r="I270">
        <v>0</v>
      </c>
      <c r="J270" t="s">
        <v>401</v>
      </c>
      <c r="K270">
        <v>8.0500000000000007</v>
      </c>
      <c r="M270" t="s">
        <v>15</v>
      </c>
      <c r="N270" t="str">
        <f>IF(Cleanedtable[[#This Row],[Age]]&lt;18, "YES","NO")</f>
        <v>NO</v>
      </c>
      <c r="O270" t="str">
        <f>IF(Cleanedtable[[#This Row],[SIBLINGS/SPOUSES]]&gt;0,"YES","NO")</f>
        <v>NO</v>
      </c>
      <c r="P270" t="str">
        <f>IF(Cleanedtable[[#This Row],[Parch]]&gt;0,"YES","NO")</f>
        <v>NO</v>
      </c>
    </row>
    <row r="271" spans="1:16" x14ac:dyDescent="0.35">
      <c r="A271">
        <v>1161</v>
      </c>
      <c r="B271">
        <v>0</v>
      </c>
      <c r="C271">
        <v>3</v>
      </c>
      <c r="D271" t="s">
        <v>402</v>
      </c>
      <c r="E271" t="s">
        <v>11</v>
      </c>
      <c r="F271" t="str">
        <f>IF(Cleanedtable[[#This Row],[Age]]&lt;18,"TEEN",IF(Cleanedtable[[#This Row],[Age]]&lt;30,"YOUTH",IF(Cleanedtable[[#This Row],[Age]]&lt;=59,"ADULT",IF(Cleanedtable[[#This Row],[Age]]&gt;=60,"ELDER"))))</f>
        <v>TEEN</v>
      </c>
      <c r="G271">
        <v>17</v>
      </c>
      <c r="H271">
        <v>0</v>
      </c>
      <c r="I271">
        <v>0</v>
      </c>
      <c r="J271" t="s">
        <v>833</v>
      </c>
      <c r="K271">
        <v>8.6624999999999996</v>
      </c>
      <c r="M271" t="s">
        <v>15</v>
      </c>
      <c r="N271" t="str">
        <f>IF(Cleanedtable[[#This Row],[Age]]&lt;18, "YES","NO")</f>
        <v>YES</v>
      </c>
      <c r="O271" t="str">
        <f>IF(Cleanedtable[[#This Row],[SIBLINGS/SPOUSES]]&gt;0,"YES","NO")</f>
        <v>NO</v>
      </c>
      <c r="P271" t="str">
        <f>IF(Cleanedtable[[#This Row],[Parch]]&gt;0,"YES","NO")</f>
        <v>NO</v>
      </c>
    </row>
    <row r="272" spans="1:16" x14ac:dyDescent="0.35">
      <c r="A272">
        <v>1162</v>
      </c>
      <c r="B272">
        <v>0</v>
      </c>
      <c r="C272">
        <v>1</v>
      </c>
      <c r="D272" t="s">
        <v>403</v>
      </c>
      <c r="E272" t="s">
        <v>11</v>
      </c>
      <c r="F272" t="str">
        <f>IF(Cleanedtable[[#This Row],[Age]]&lt;18,"TEEN",IF(Cleanedtable[[#This Row],[Age]]&lt;30,"YOUTH",IF(Cleanedtable[[#This Row],[Age]]&lt;=59,"ADULT",IF(Cleanedtable[[#This Row],[Age]]&gt;=60,"ELDER"))))</f>
        <v>ADULT</v>
      </c>
      <c r="G272">
        <v>46</v>
      </c>
      <c r="H272">
        <v>0</v>
      </c>
      <c r="I272">
        <v>0</v>
      </c>
      <c r="J272" t="s">
        <v>719</v>
      </c>
      <c r="K272">
        <v>75.241699999999994</v>
      </c>
      <c r="L272" t="s">
        <v>190</v>
      </c>
      <c r="M272" t="s">
        <v>23</v>
      </c>
      <c r="N272" t="str">
        <f>IF(Cleanedtable[[#This Row],[Age]]&lt;18, "YES","NO")</f>
        <v>NO</v>
      </c>
      <c r="O272" t="str">
        <f>IF(Cleanedtable[[#This Row],[SIBLINGS/SPOUSES]]&gt;0,"YES","NO")</f>
        <v>NO</v>
      </c>
      <c r="P272" t="str">
        <f>IF(Cleanedtable[[#This Row],[Parch]]&gt;0,"YES","NO")</f>
        <v>NO</v>
      </c>
    </row>
    <row r="273" spans="1:16" x14ac:dyDescent="0.35">
      <c r="A273">
        <v>1163</v>
      </c>
      <c r="B273">
        <v>0</v>
      </c>
      <c r="C273">
        <v>3</v>
      </c>
      <c r="D273" t="s">
        <v>404</v>
      </c>
      <c r="E273" t="s">
        <v>11</v>
      </c>
      <c r="F273" t="str">
        <f>IF(Cleanedtable[[#This Row],[Age]]&lt;18,"TEEN",IF(Cleanedtable[[#This Row],[Age]]&lt;30,"YOUTH",IF(Cleanedtable[[#This Row],[Age]]&lt;=59,"ADULT",IF(Cleanedtable[[#This Row],[Age]]&gt;=60,"ELDER"))))</f>
        <v>ADULT</v>
      </c>
      <c r="G273">
        <v>30.2</v>
      </c>
      <c r="H273">
        <v>0</v>
      </c>
      <c r="I273">
        <v>0</v>
      </c>
      <c r="J273" t="s">
        <v>834</v>
      </c>
      <c r="K273">
        <v>7.75</v>
      </c>
      <c r="M273" t="s">
        <v>12</v>
      </c>
      <c r="N273" t="str">
        <f>IF(Cleanedtable[[#This Row],[Age]]&lt;18, "YES","NO")</f>
        <v>NO</v>
      </c>
      <c r="O273" t="str">
        <f>IF(Cleanedtable[[#This Row],[SIBLINGS/SPOUSES]]&gt;0,"YES","NO")</f>
        <v>NO</v>
      </c>
      <c r="P273" t="str">
        <f>IF(Cleanedtable[[#This Row],[Parch]]&gt;0,"YES","NO")</f>
        <v>NO</v>
      </c>
    </row>
    <row r="274" spans="1:16" x14ac:dyDescent="0.35">
      <c r="A274">
        <v>1164</v>
      </c>
      <c r="B274">
        <v>1</v>
      </c>
      <c r="C274">
        <v>1</v>
      </c>
      <c r="D274" t="s">
        <v>405</v>
      </c>
      <c r="E274" t="s">
        <v>14</v>
      </c>
      <c r="F274" t="str">
        <f>IF(Cleanedtable[[#This Row],[Age]]&lt;18,"TEEN",IF(Cleanedtable[[#This Row],[Age]]&lt;30,"YOUTH",IF(Cleanedtable[[#This Row],[Age]]&lt;=59,"ADULT",IF(Cleanedtable[[#This Row],[Age]]&gt;=60,"ELDER"))))</f>
        <v>YOUTH</v>
      </c>
      <c r="G274">
        <v>26</v>
      </c>
      <c r="H274">
        <v>1</v>
      </c>
      <c r="I274">
        <v>0</v>
      </c>
      <c r="J274" t="s">
        <v>822</v>
      </c>
      <c r="K274">
        <v>136.7792</v>
      </c>
      <c r="L274" t="s">
        <v>380</v>
      </c>
      <c r="M274" t="s">
        <v>23</v>
      </c>
      <c r="N274" t="str">
        <f>IF(Cleanedtable[[#This Row],[Age]]&lt;18, "YES","NO")</f>
        <v>NO</v>
      </c>
      <c r="O274" t="str">
        <f>IF(Cleanedtable[[#This Row],[SIBLINGS/SPOUSES]]&gt;0,"YES","NO")</f>
        <v>YES</v>
      </c>
      <c r="P274" t="str">
        <f>IF(Cleanedtable[[#This Row],[Parch]]&gt;0,"YES","NO")</f>
        <v>NO</v>
      </c>
    </row>
    <row r="275" spans="1:16" x14ac:dyDescent="0.35">
      <c r="A275">
        <v>1165</v>
      </c>
      <c r="B275">
        <v>1</v>
      </c>
      <c r="C275">
        <v>3</v>
      </c>
      <c r="D275" t="s">
        <v>406</v>
      </c>
      <c r="E275" t="s">
        <v>14</v>
      </c>
      <c r="F275" t="str">
        <f>IF(Cleanedtable[[#This Row],[Age]]&lt;18,"TEEN",IF(Cleanedtable[[#This Row],[Age]]&lt;30,"YOUTH",IF(Cleanedtable[[#This Row],[Age]]&lt;=59,"ADULT",IF(Cleanedtable[[#This Row],[Age]]&gt;=60,"ELDER"))))</f>
        <v>ADULT</v>
      </c>
      <c r="G275">
        <v>30.2</v>
      </c>
      <c r="H275">
        <v>1</v>
      </c>
      <c r="I275">
        <v>0</v>
      </c>
      <c r="J275" t="s">
        <v>835</v>
      </c>
      <c r="K275">
        <v>15.5</v>
      </c>
      <c r="M275" t="s">
        <v>12</v>
      </c>
      <c r="N275" t="str">
        <f>IF(Cleanedtable[[#This Row],[Age]]&lt;18, "YES","NO")</f>
        <v>NO</v>
      </c>
      <c r="O275" t="str">
        <f>IF(Cleanedtable[[#This Row],[SIBLINGS/SPOUSES]]&gt;0,"YES","NO")</f>
        <v>YES</v>
      </c>
      <c r="P275" t="str">
        <f>IF(Cleanedtable[[#This Row],[Parch]]&gt;0,"YES","NO")</f>
        <v>NO</v>
      </c>
    </row>
    <row r="276" spans="1:16" x14ac:dyDescent="0.35">
      <c r="A276">
        <v>1166</v>
      </c>
      <c r="B276">
        <v>0</v>
      </c>
      <c r="C276">
        <v>3</v>
      </c>
      <c r="D276" t="s">
        <v>407</v>
      </c>
      <c r="E276" t="s">
        <v>11</v>
      </c>
      <c r="F276" t="str">
        <f>IF(Cleanedtable[[#This Row],[Age]]&lt;18,"TEEN",IF(Cleanedtable[[#This Row],[Age]]&lt;30,"YOUTH",IF(Cleanedtable[[#This Row],[Age]]&lt;=59,"ADULT",IF(Cleanedtable[[#This Row],[Age]]&gt;=60,"ELDER"))))</f>
        <v>ADULT</v>
      </c>
      <c r="G276">
        <v>30.2</v>
      </c>
      <c r="H276">
        <v>0</v>
      </c>
      <c r="I276">
        <v>0</v>
      </c>
      <c r="J276" t="s">
        <v>836</v>
      </c>
      <c r="K276">
        <v>7.2249999999999996</v>
      </c>
      <c r="M276" t="s">
        <v>23</v>
      </c>
      <c r="N276" t="str">
        <f>IF(Cleanedtable[[#This Row],[Age]]&lt;18, "YES","NO")</f>
        <v>NO</v>
      </c>
      <c r="O276" t="str">
        <f>IF(Cleanedtable[[#This Row],[SIBLINGS/SPOUSES]]&gt;0,"YES","NO")</f>
        <v>NO</v>
      </c>
      <c r="P276" t="str">
        <f>IF(Cleanedtable[[#This Row],[Parch]]&gt;0,"YES","NO")</f>
        <v>NO</v>
      </c>
    </row>
    <row r="277" spans="1:16" x14ac:dyDescent="0.35">
      <c r="A277">
        <v>1167</v>
      </c>
      <c r="B277">
        <v>1</v>
      </c>
      <c r="C277">
        <v>2</v>
      </c>
      <c r="D277" t="s">
        <v>408</v>
      </c>
      <c r="E277" t="s">
        <v>14</v>
      </c>
      <c r="F277" t="str">
        <f>IF(Cleanedtable[[#This Row],[Age]]&lt;18,"TEEN",IF(Cleanedtable[[#This Row],[Age]]&lt;30,"YOUTH",IF(Cleanedtable[[#This Row],[Age]]&lt;=59,"ADULT",IF(Cleanedtable[[#This Row],[Age]]&gt;=60,"ELDER"))))</f>
        <v>YOUTH</v>
      </c>
      <c r="G277">
        <v>20</v>
      </c>
      <c r="H277">
        <v>1</v>
      </c>
      <c r="I277">
        <v>0</v>
      </c>
      <c r="J277" t="s">
        <v>837</v>
      </c>
      <c r="K277">
        <v>26</v>
      </c>
      <c r="M277" t="s">
        <v>15</v>
      </c>
      <c r="N277" t="str">
        <f>IF(Cleanedtable[[#This Row],[Age]]&lt;18, "YES","NO")</f>
        <v>NO</v>
      </c>
      <c r="O277" t="str">
        <f>IF(Cleanedtable[[#This Row],[SIBLINGS/SPOUSES]]&gt;0,"YES","NO")</f>
        <v>YES</v>
      </c>
      <c r="P277" t="str">
        <f>IF(Cleanedtable[[#This Row],[Parch]]&gt;0,"YES","NO")</f>
        <v>NO</v>
      </c>
    </row>
    <row r="278" spans="1:16" x14ac:dyDescent="0.35">
      <c r="A278">
        <v>1168</v>
      </c>
      <c r="B278">
        <v>0</v>
      </c>
      <c r="C278">
        <v>2</v>
      </c>
      <c r="D278" t="s">
        <v>409</v>
      </c>
      <c r="E278" t="s">
        <v>11</v>
      </c>
      <c r="F278" t="str">
        <f>IF(Cleanedtable[[#This Row],[Age]]&lt;18,"TEEN",IF(Cleanedtable[[#This Row],[Age]]&lt;30,"YOUTH",IF(Cleanedtable[[#This Row],[Age]]&lt;=59,"ADULT",IF(Cleanedtable[[#This Row],[Age]]&gt;=60,"ELDER"))))</f>
        <v>YOUTH</v>
      </c>
      <c r="G278">
        <v>28</v>
      </c>
      <c r="H278">
        <v>0</v>
      </c>
      <c r="I278">
        <v>0</v>
      </c>
      <c r="J278" t="s">
        <v>838</v>
      </c>
      <c r="K278">
        <v>10.5</v>
      </c>
      <c r="M278" t="s">
        <v>15</v>
      </c>
      <c r="N278" t="str">
        <f>IF(Cleanedtable[[#This Row],[Age]]&lt;18, "YES","NO")</f>
        <v>NO</v>
      </c>
      <c r="O278" t="str">
        <f>IF(Cleanedtable[[#This Row],[SIBLINGS/SPOUSES]]&gt;0,"YES","NO")</f>
        <v>NO</v>
      </c>
      <c r="P278" t="str">
        <f>IF(Cleanedtable[[#This Row],[Parch]]&gt;0,"YES","NO")</f>
        <v>NO</v>
      </c>
    </row>
    <row r="279" spans="1:16" x14ac:dyDescent="0.35">
      <c r="A279">
        <v>1169</v>
      </c>
      <c r="B279">
        <v>0</v>
      </c>
      <c r="C279">
        <v>2</v>
      </c>
      <c r="D279" t="s">
        <v>411</v>
      </c>
      <c r="E279" t="s">
        <v>11</v>
      </c>
      <c r="F279" t="str">
        <f>IF(Cleanedtable[[#This Row],[Age]]&lt;18,"TEEN",IF(Cleanedtable[[#This Row],[Age]]&lt;30,"YOUTH",IF(Cleanedtable[[#This Row],[Age]]&lt;=59,"ADULT",IF(Cleanedtable[[#This Row],[Age]]&gt;=60,"ELDER"))))</f>
        <v>ADULT</v>
      </c>
      <c r="G279">
        <v>40</v>
      </c>
      <c r="H279">
        <v>1</v>
      </c>
      <c r="I279">
        <v>0</v>
      </c>
      <c r="J279" t="s">
        <v>839</v>
      </c>
      <c r="K279">
        <v>26</v>
      </c>
      <c r="M279" t="s">
        <v>15</v>
      </c>
      <c r="N279" t="str">
        <f>IF(Cleanedtable[[#This Row],[Age]]&lt;18, "YES","NO")</f>
        <v>NO</v>
      </c>
      <c r="O279" t="str">
        <f>IF(Cleanedtable[[#This Row],[SIBLINGS/SPOUSES]]&gt;0,"YES","NO")</f>
        <v>YES</v>
      </c>
      <c r="P279" t="str">
        <f>IF(Cleanedtable[[#This Row],[Parch]]&gt;0,"YES","NO")</f>
        <v>NO</v>
      </c>
    </row>
    <row r="280" spans="1:16" x14ac:dyDescent="0.35">
      <c r="A280">
        <v>1170</v>
      </c>
      <c r="B280">
        <v>0</v>
      </c>
      <c r="C280">
        <v>2</v>
      </c>
      <c r="D280" t="s">
        <v>412</v>
      </c>
      <c r="E280" t="s">
        <v>11</v>
      </c>
      <c r="F280" t="str">
        <f>IF(Cleanedtable[[#This Row],[Age]]&lt;18,"TEEN",IF(Cleanedtable[[#This Row],[Age]]&lt;30,"YOUTH",IF(Cleanedtable[[#This Row],[Age]]&lt;=59,"ADULT",IF(Cleanedtable[[#This Row],[Age]]&gt;=60,"ELDER"))))</f>
        <v>ADULT</v>
      </c>
      <c r="G280">
        <v>30</v>
      </c>
      <c r="H280">
        <v>1</v>
      </c>
      <c r="I280">
        <v>0</v>
      </c>
      <c r="J280" t="s">
        <v>840</v>
      </c>
      <c r="K280">
        <v>21</v>
      </c>
      <c r="M280" t="s">
        <v>15</v>
      </c>
      <c r="N280" t="str">
        <f>IF(Cleanedtable[[#This Row],[Age]]&lt;18, "YES","NO")</f>
        <v>NO</v>
      </c>
      <c r="O280" t="str">
        <f>IF(Cleanedtable[[#This Row],[SIBLINGS/SPOUSES]]&gt;0,"YES","NO")</f>
        <v>YES</v>
      </c>
      <c r="P280" t="str">
        <f>IF(Cleanedtable[[#This Row],[Parch]]&gt;0,"YES","NO")</f>
        <v>NO</v>
      </c>
    </row>
    <row r="281" spans="1:16" x14ac:dyDescent="0.35">
      <c r="A281">
        <v>1171</v>
      </c>
      <c r="B281">
        <v>0</v>
      </c>
      <c r="C281">
        <v>2</v>
      </c>
      <c r="D281" t="s">
        <v>414</v>
      </c>
      <c r="E281" t="s">
        <v>11</v>
      </c>
      <c r="F281" t="str">
        <f>IF(Cleanedtable[[#This Row],[Age]]&lt;18,"TEEN",IF(Cleanedtable[[#This Row],[Age]]&lt;30,"YOUTH",IF(Cleanedtable[[#This Row],[Age]]&lt;=59,"ADULT",IF(Cleanedtable[[#This Row],[Age]]&gt;=60,"ELDER"))))</f>
        <v>YOUTH</v>
      </c>
      <c r="G281">
        <v>22</v>
      </c>
      <c r="H281">
        <v>0</v>
      </c>
      <c r="I281">
        <v>0</v>
      </c>
      <c r="J281" t="s">
        <v>415</v>
      </c>
      <c r="K281">
        <v>10.5</v>
      </c>
      <c r="M281" t="s">
        <v>15</v>
      </c>
      <c r="N281" t="str">
        <f>IF(Cleanedtable[[#This Row],[Age]]&lt;18, "YES","NO")</f>
        <v>NO</v>
      </c>
      <c r="O281" t="str">
        <f>IF(Cleanedtable[[#This Row],[SIBLINGS/SPOUSES]]&gt;0,"YES","NO")</f>
        <v>NO</v>
      </c>
      <c r="P281" t="str">
        <f>IF(Cleanedtable[[#This Row],[Parch]]&gt;0,"YES","NO")</f>
        <v>NO</v>
      </c>
    </row>
    <row r="282" spans="1:16" x14ac:dyDescent="0.35">
      <c r="A282">
        <v>1172</v>
      </c>
      <c r="B282">
        <v>1</v>
      </c>
      <c r="C282">
        <v>3</v>
      </c>
      <c r="D282" t="s">
        <v>416</v>
      </c>
      <c r="E282" t="s">
        <v>14</v>
      </c>
      <c r="F282" t="str">
        <f>IF(Cleanedtable[[#This Row],[Age]]&lt;18,"TEEN",IF(Cleanedtable[[#This Row],[Age]]&lt;30,"YOUTH",IF(Cleanedtable[[#This Row],[Age]]&lt;=59,"ADULT",IF(Cleanedtable[[#This Row],[Age]]&gt;=60,"ELDER"))))</f>
        <v>YOUTH</v>
      </c>
      <c r="G282">
        <v>23</v>
      </c>
      <c r="H282">
        <v>0</v>
      </c>
      <c r="I282">
        <v>0</v>
      </c>
      <c r="J282" t="s">
        <v>841</v>
      </c>
      <c r="K282">
        <v>8.6624999999999996</v>
      </c>
      <c r="M282" t="s">
        <v>15</v>
      </c>
      <c r="N282" t="str">
        <f>IF(Cleanedtable[[#This Row],[Age]]&lt;18, "YES","NO")</f>
        <v>NO</v>
      </c>
      <c r="O282" t="str">
        <f>IF(Cleanedtable[[#This Row],[SIBLINGS/SPOUSES]]&gt;0,"YES","NO")</f>
        <v>NO</v>
      </c>
      <c r="P282" t="str">
        <f>IF(Cleanedtable[[#This Row],[Parch]]&gt;0,"YES","NO")</f>
        <v>NO</v>
      </c>
    </row>
    <row r="283" spans="1:16" x14ac:dyDescent="0.35">
      <c r="A283">
        <v>1173</v>
      </c>
      <c r="B283">
        <v>0</v>
      </c>
      <c r="C283">
        <v>3</v>
      </c>
      <c r="D283" t="s">
        <v>417</v>
      </c>
      <c r="E283" t="s">
        <v>11</v>
      </c>
      <c r="F283" t="str">
        <f>IF(Cleanedtable[[#This Row],[Age]]&lt;18,"TEEN",IF(Cleanedtable[[#This Row],[Age]]&lt;30,"YOUTH",IF(Cleanedtable[[#This Row],[Age]]&lt;=59,"ADULT",IF(Cleanedtable[[#This Row],[Age]]&gt;=60,"ELDER"))))</f>
        <v>TEEN</v>
      </c>
      <c r="G283">
        <v>0.75</v>
      </c>
      <c r="H283">
        <v>1</v>
      </c>
      <c r="I283">
        <v>1</v>
      </c>
      <c r="J283" t="s">
        <v>754</v>
      </c>
      <c r="K283">
        <v>13.775</v>
      </c>
      <c r="M283" t="s">
        <v>15</v>
      </c>
      <c r="N283" t="str">
        <f>IF(Cleanedtable[[#This Row],[Age]]&lt;18, "YES","NO")</f>
        <v>YES</v>
      </c>
      <c r="O283" t="str">
        <f>IF(Cleanedtable[[#This Row],[SIBLINGS/SPOUSES]]&gt;0,"YES","NO")</f>
        <v>YES</v>
      </c>
      <c r="P283" t="str">
        <f>IF(Cleanedtable[[#This Row],[Parch]]&gt;0,"YES","NO")</f>
        <v>YES</v>
      </c>
    </row>
    <row r="284" spans="1:16" x14ac:dyDescent="0.35">
      <c r="A284">
        <v>1174</v>
      </c>
      <c r="B284">
        <v>1</v>
      </c>
      <c r="C284">
        <v>3</v>
      </c>
      <c r="D284" t="s">
        <v>418</v>
      </c>
      <c r="E284" t="s">
        <v>14</v>
      </c>
      <c r="F284" t="str">
        <f>IF(Cleanedtable[[#This Row],[Age]]&lt;18,"TEEN",IF(Cleanedtable[[#This Row],[Age]]&lt;30,"YOUTH",IF(Cleanedtable[[#This Row],[Age]]&lt;=59,"ADULT",IF(Cleanedtable[[#This Row],[Age]]&gt;=60,"ELDER"))))</f>
        <v>ADULT</v>
      </c>
      <c r="G284">
        <v>30.2</v>
      </c>
      <c r="H284">
        <v>0</v>
      </c>
      <c r="I284">
        <v>0</v>
      </c>
      <c r="J284" t="s">
        <v>842</v>
      </c>
      <c r="K284">
        <v>7.75</v>
      </c>
      <c r="M284" t="s">
        <v>12</v>
      </c>
      <c r="N284" t="str">
        <f>IF(Cleanedtable[[#This Row],[Age]]&lt;18, "YES","NO")</f>
        <v>NO</v>
      </c>
      <c r="O284" t="str">
        <f>IF(Cleanedtable[[#This Row],[SIBLINGS/SPOUSES]]&gt;0,"YES","NO")</f>
        <v>NO</v>
      </c>
      <c r="P284" t="str">
        <f>IF(Cleanedtable[[#This Row],[Parch]]&gt;0,"YES","NO")</f>
        <v>NO</v>
      </c>
    </row>
    <row r="285" spans="1:16" x14ac:dyDescent="0.35">
      <c r="A285">
        <v>1175</v>
      </c>
      <c r="B285">
        <v>1</v>
      </c>
      <c r="C285">
        <v>3</v>
      </c>
      <c r="D285" t="s">
        <v>419</v>
      </c>
      <c r="E285" t="s">
        <v>14</v>
      </c>
      <c r="F285" t="str">
        <f>IF(Cleanedtable[[#This Row],[Age]]&lt;18,"TEEN",IF(Cleanedtable[[#This Row],[Age]]&lt;30,"YOUTH",IF(Cleanedtable[[#This Row],[Age]]&lt;=59,"ADULT",IF(Cleanedtable[[#This Row],[Age]]&gt;=60,"ELDER"))))</f>
        <v>TEEN</v>
      </c>
      <c r="G285">
        <v>9</v>
      </c>
      <c r="H285">
        <v>1</v>
      </c>
      <c r="I285">
        <v>1</v>
      </c>
      <c r="J285" t="s">
        <v>756</v>
      </c>
      <c r="K285">
        <v>15.245799999999999</v>
      </c>
      <c r="M285" t="s">
        <v>23</v>
      </c>
      <c r="N285" t="str">
        <f>IF(Cleanedtable[[#This Row],[Age]]&lt;18, "YES","NO")</f>
        <v>YES</v>
      </c>
      <c r="O285" t="str">
        <f>IF(Cleanedtable[[#This Row],[SIBLINGS/SPOUSES]]&gt;0,"YES","NO")</f>
        <v>YES</v>
      </c>
      <c r="P285" t="str">
        <f>IF(Cleanedtable[[#This Row],[Parch]]&gt;0,"YES","NO")</f>
        <v>YES</v>
      </c>
    </row>
    <row r="286" spans="1:16" x14ac:dyDescent="0.35">
      <c r="A286">
        <v>1176</v>
      </c>
      <c r="B286">
        <v>1</v>
      </c>
      <c r="C286">
        <v>3</v>
      </c>
      <c r="D286" t="s">
        <v>420</v>
      </c>
      <c r="E286" t="s">
        <v>14</v>
      </c>
      <c r="F286" t="str">
        <f>IF(Cleanedtable[[#This Row],[Age]]&lt;18,"TEEN",IF(Cleanedtable[[#This Row],[Age]]&lt;30,"YOUTH",IF(Cleanedtable[[#This Row],[Age]]&lt;=59,"ADULT",IF(Cleanedtable[[#This Row],[Age]]&gt;=60,"ELDER"))))</f>
        <v>TEEN</v>
      </c>
      <c r="G286">
        <v>2</v>
      </c>
      <c r="H286">
        <v>1</v>
      </c>
      <c r="I286">
        <v>1</v>
      </c>
      <c r="J286" t="s">
        <v>843</v>
      </c>
      <c r="K286">
        <v>20.212499999999999</v>
      </c>
      <c r="M286" t="s">
        <v>15</v>
      </c>
      <c r="N286" t="str">
        <f>IF(Cleanedtable[[#This Row],[Age]]&lt;18, "YES","NO")</f>
        <v>YES</v>
      </c>
      <c r="O286" t="str">
        <f>IF(Cleanedtable[[#This Row],[SIBLINGS/SPOUSES]]&gt;0,"YES","NO")</f>
        <v>YES</v>
      </c>
      <c r="P286" t="str">
        <f>IF(Cleanedtable[[#This Row],[Parch]]&gt;0,"YES","NO")</f>
        <v>YES</v>
      </c>
    </row>
    <row r="287" spans="1:16" x14ac:dyDescent="0.35">
      <c r="A287">
        <v>1177</v>
      </c>
      <c r="B287">
        <v>0</v>
      </c>
      <c r="C287">
        <v>3</v>
      </c>
      <c r="D287" t="s">
        <v>421</v>
      </c>
      <c r="E287" t="s">
        <v>11</v>
      </c>
      <c r="F287" t="str">
        <f>IF(Cleanedtable[[#This Row],[Age]]&lt;18,"TEEN",IF(Cleanedtable[[#This Row],[Age]]&lt;30,"YOUTH",IF(Cleanedtable[[#This Row],[Age]]&lt;=59,"ADULT",IF(Cleanedtable[[#This Row],[Age]]&gt;=60,"ELDER"))))</f>
        <v>ADULT</v>
      </c>
      <c r="G287">
        <v>36</v>
      </c>
      <c r="H287">
        <v>0</v>
      </c>
      <c r="I287">
        <v>0</v>
      </c>
      <c r="J287" t="s">
        <v>422</v>
      </c>
      <c r="K287">
        <v>7.25</v>
      </c>
      <c r="M287" t="s">
        <v>15</v>
      </c>
      <c r="N287" t="str">
        <f>IF(Cleanedtable[[#This Row],[Age]]&lt;18, "YES","NO")</f>
        <v>NO</v>
      </c>
      <c r="O287" t="str">
        <f>IF(Cleanedtable[[#This Row],[SIBLINGS/SPOUSES]]&gt;0,"YES","NO")</f>
        <v>NO</v>
      </c>
      <c r="P287" t="str">
        <f>IF(Cleanedtable[[#This Row],[Parch]]&gt;0,"YES","NO")</f>
        <v>NO</v>
      </c>
    </row>
    <row r="288" spans="1:16" x14ac:dyDescent="0.35">
      <c r="A288">
        <v>1178</v>
      </c>
      <c r="B288">
        <v>0</v>
      </c>
      <c r="C288">
        <v>3</v>
      </c>
      <c r="D288" t="s">
        <v>423</v>
      </c>
      <c r="E288" t="s">
        <v>11</v>
      </c>
      <c r="F288" t="str">
        <f>IF(Cleanedtable[[#This Row],[Age]]&lt;18,"TEEN",IF(Cleanedtable[[#This Row],[Age]]&lt;30,"YOUTH",IF(Cleanedtable[[#This Row],[Age]]&lt;=59,"ADULT",IF(Cleanedtable[[#This Row],[Age]]&gt;=60,"ELDER"))))</f>
        <v>ADULT</v>
      </c>
      <c r="G288">
        <v>30.2</v>
      </c>
      <c r="H288">
        <v>0</v>
      </c>
      <c r="I288">
        <v>0</v>
      </c>
      <c r="J288" t="s">
        <v>844</v>
      </c>
      <c r="K288">
        <v>7.25</v>
      </c>
      <c r="M288" t="s">
        <v>15</v>
      </c>
      <c r="N288" t="str">
        <f>IF(Cleanedtable[[#This Row],[Age]]&lt;18, "YES","NO")</f>
        <v>NO</v>
      </c>
      <c r="O288" t="str">
        <f>IF(Cleanedtable[[#This Row],[SIBLINGS/SPOUSES]]&gt;0,"YES","NO")</f>
        <v>NO</v>
      </c>
      <c r="P288" t="str">
        <f>IF(Cleanedtable[[#This Row],[Parch]]&gt;0,"YES","NO")</f>
        <v>NO</v>
      </c>
    </row>
    <row r="289" spans="1:16" x14ac:dyDescent="0.35">
      <c r="A289">
        <v>1179</v>
      </c>
      <c r="B289">
        <v>0</v>
      </c>
      <c r="C289">
        <v>1</v>
      </c>
      <c r="D289" t="s">
        <v>425</v>
      </c>
      <c r="E289" t="s">
        <v>11</v>
      </c>
      <c r="F289" t="str">
        <f>IF(Cleanedtable[[#This Row],[Age]]&lt;18,"TEEN",IF(Cleanedtable[[#This Row],[Age]]&lt;30,"YOUTH",IF(Cleanedtable[[#This Row],[Age]]&lt;=59,"ADULT",IF(Cleanedtable[[#This Row],[Age]]&gt;=60,"ELDER"))))</f>
        <v>YOUTH</v>
      </c>
      <c r="G289">
        <v>24</v>
      </c>
      <c r="H289">
        <v>1</v>
      </c>
      <c r="I289">
        <v>0</v>
      </c>
      <c r="J289" t="s">
        <v>630</v>
      </c>
      <c r="K289">
        <v>82.2667</v>
      </c>
      <c r="L289" t="s">
        <v>29</v>
      </c>
      <c r="M289" t="s">
        <v>15</v>
      </c>
      <c r="N289" t="str">
        <f>IF(Cleanedtable[[#This Row],[Age]]&lt;18, "YES","NO")</f>
        <v>NO</v>
      </c>
      <c r="O289" t="str">
        <f>IF(Cleanedtable[[#This Row],[SIBLINGS/SPOUSES]]&gt;0,"YES","NO")</f>
        <v>YES</v>
      </c>
      <c r="P289" t="str">
        <f>IF(Cleanedtable[[#This Row],[Parch]]&gt;0,"YES","NO")</f>
        <v>NO</v>
      </c>
    </row>
    <row r="290" spans="1:16" x14ac:dyDescent="0.35">
      <c r="A290">
        <v>1180</v>
      </c>
      <c r="B290">
        <v>0</v>
      </c>
      <c r="C290">
        <v>3</v>
      </c>
      <c r="D290" t="s">
        <v>426</v>
      </c>
      <c r="E290" t="s">
        <v>11</v>
      </c>
      <c r="F290" t="str">
        <f>IF(Cleanedtable[[#This Row],[Age]]&lt;18,"TEEN",IF(Cleanedtable[[#This Row],[Age]]&lt;30,"YOUTH",IF(Cleanedtable[[#This Row],[Age]]&lt;=59,"ADULT",IF(Cleanedtable[[#This Row],[Age]]&gt;=60,"ELDER"))))</f>
        <v>ADULT</v>
      </c>
      <c r="G290">
        <v>30.2</v>
      </c>
      <c r="H290">
        <v>0</v>
      </c>
      <c r="I290">
        <v>0</v>
      </c>
      <c r="J290" t="s">
        <v>845</v>
      </c>
      <c r="K290">
        <v>7.2291999999999996</v>
      </c>
      <c r="L290" t="s">
        <v>427</v>
      </c>
      <c r="M290" t="s">
        <v>23</v>
      </c>
      <c r="N290" t="str">
        <f>IF(Cleanedtable[[#This Row],[Age]]&lt;18, "YES","NO")</f>
        <v>NO</v>
      </c>
      <c r="O290" t="str">
        <f>IF(Cleanedtable[[#This Row],[SIBLINGS/SPOUSES]]&gt;0,"YES","NO")</f>
        <v>NO</v>
      </c>
      <c r="P290" t="str">
        <f>IF(Cleanedtable[[#This Row],[Parch]]&gt;0,"YES","NO")</f>
        <v>NO</v>
      </c>
    </row>
    <row r="291" spans="1:16" x14ac:dyDescent="0.35">
      <c r="A291">
        <v>1181</v>
      </c>
      <c r="B291">
        <v>0</v>
      </c>
      <c r="C291">
        <v>3</v>
      </c>
      <c r="D291" t="s">
        <v>428</v>
      </c>
      <c r="E291" t="s">
        <v>11</v>
      </c>
      <c r="F291" t="str">
        <f>IF(Cleanedtable[[#This Row],[Age]]&lt;18,"TEEN",IF(Cleanedtable[[#This Row],[Age]]&lt;30,"YOUTH",IF(Cleanedtable[[#This Row],[Age]]&lt;=59,"ADULT",IF(Cleanedtable[[#This Row],[Age]]&gt;=60,"ELDER"))))</f>
        <v>ADULT</v>
      </c>
      <c r="G291">
        <v>30.2</v>
      </c>
      <c r="H291">
        <v>0</v>
      </c>
      <c r="I291">
        <v>0</v>
      </c>
      <c r="J291" t="s">
        <v>429</v>
      </c>
      <c r="K291">
        <v>8.0500000000000007</v>
      </c>
      <c r="M291" t="s">
        <v>15</v>
      </c>
      <c r="N291" t="str">
        <f>IF(Cleanedtable[[#This Row],[Age]]&lt;18, "YES","NO")</f>
        <v>NO</v>
      </c>
      <c r="O291" t="str">
        <f>IF(Cleanedtable[[#This Row],[SIBLINGS/SPOUSES]]&gt;0,"YES","NO")</f>
        <v>NO</v>
      </c>
      <c r="P291" t="str">
        <f>IF(Cleanedtable[[#This Row],[Parch]]&gt;0,"YES","NO")</f>
        <v>NO</v>
      </c>
    </row>
    <row r="292" spans="1:16" x14ac:dyDescent="0.35">
      <c r="A292">
        <v>1182</v>
      </c>
      <c r="B292">
        <v>0</v>
      </c>
      <c r="C292">
        <v>1</v>
      </c>
      <c r="D292" t="s">
        <v>430</v>
      </c>
      <c r="E292" t="s">
        <v>11</v>
      </c>
      <c r="F292" t="str">
        <f>IF(Cleanedtable[[#This Row],[Age]]&lt;18,"TEEN",IF(Cleanedtable[[#This Row],[Age]]&lt;30,"YOUTH",IF(Cleanedtable[[#This Row],[Age]]&lt;=59,"ADULT",IF(Cleanedtable[[#This Row],[Age]]&gt;=60,"ELDER"))))</f>
        <v>ADULT</v>
      </c>
      <c r="G292">
        <v>30.2</v>
      </c>
      <c r="H292">
        <v>0</v>
      </c>
      <c r="I292">
        <v>0</v>
      </c>
      <c r="J292" t="s">
        <v>846</v>
      </c>
      <c r="K292">
        <v>39.6</v>
      </c>
      <c r="M292" t="s">
        <v>15</v>
      </c>
      <c r="N292" t="str">
        <f>IF(Cleanedtable[[#This Row],[Age]]&lt;18, "YES","NO")</f>
        <v>NO</v>
      </c>
      <c r="O292" t="str">
        <f>IF(Cleanedtable[[#This Row],[SIBLINGS/SPOUSES]]&gt;0,"YES","NO")</f>
        <v>NO</v>
      </c>
      <c r="P292" t="str">
        <f>IF(Cleanedtable[[#This Row],[Parch]]&gt;0,"YES","NO")</f>
        <v>NO</v>
      </c>
    </row>
    <row r="293" spans="1:16" x14ac:dyDescent="0.35">
      <c r="A293">
        <v>1183</v>
      </c>
      <c r="B293">
        <v>1</v>
      </c>
      <c r="C293">
        <v>3</v>
      </c>
      <c r="D293" t="s">
        <v>432</v>
      </c>
      <c r="E293" t="s">
        <v>14</v>
      </c>
      <c r="F293" t="str">
        <f>IF(Cleanedtable[[#This Row],[Age]]&lt;18,"TEEN",IF(Cleanedtable[[#This Row],[Age]]&lt;30,"YOUTH",IF(Cleanedtable[[#This Row],[Age]]&lt;=59,"ADULT",IF(Cleanedtable[[#This Row],[Age]]&gt;=60,"ELDER"))))</f>
        <v>ADULT</v>
      </c>
      <c r="G293">
        <v>30</v>
      </c>
      <c r="H293">
        <v>0</v>
      </c>
      <c r="I293">
        <v>0</v>
      </c>
      <c r="J293" t="s">
        <v>847</v>
      </c>
      <c r="K293">
        <v>6.95</v>
      </c>
      <c r="M293" t="s">
        <v>12</v>
      </c>
      <c r="N293" t="str">
        <f>IF(Cleanedtable[[#This Row],[Age]]&lt;18, "YES","NO")</f>
        <v>NO</v>
      </c>
      <c r="O293" t="str">
        <f>IF(Cleanedtable[[#This Row],[SIBLINGS/SPOUSES]]&gt;0,"YES","NO")</f>
        <v>NO</v>
      </c>
      <c r="P293" t="str">
        <f>IF(Cleanedtable[[#This Row],[Parch]]&gt;0,"YES","NO")</f>
        <v>NO</v>
      </c>
    </row>
    <row r="294" spans="1:16" x14ac:dyDescent="0.35">
      <c r="A294">
        <v>1184</v>
      </c>
      <c r="B294">
        <v>0</v>
      </c>
      <c r="C294">
        <v>3</v>
      </c>
      <c r="D294" t="s">
        <v>433</v>
      </c>
      <c r="E294" t="s">
        <v>11</v>
      </c>
      <c r="F294" t="str">
        <f>IF(Cleanedtable[[#This Row],[Age]]&lt;18,"TEEN",IF(Cleanedtable[[#This Row],[Age]]&lt;30,"YOUTH",IF(Cleanedtable[[#This Row],[Age]]&lt;=59,"ADULT",IF(Cleanedtable[[#This Row],[Age]]&gt;=60,"ELDER"))))</f>
        <v>ADULT</v>
      </c>
      <c r="G294">
        <v>30.2</v>
      </c>
      <c r="H294">
        <v>0</v>
      </c>
      <c r="I294">
        <v>0</v>
      </c>
      <c r="J294" t="s">
        <v>848</v>
      </c>
      <c r="K294">
        <v>7.2291999999999996</v>
      </c>
      <c r="M294" t="s">
        <v>23</v>
      </c>
      <c r="N294" t="str">
        <f>IF(Cleanedtable[[#This Row],[Age]]&lt;18, "YES","NO")</f>
        <v>NO</v>
      </c>
      <c r="O294" t="str">
        <f>IF(Cleanedtable[[#This Row],[SIBLINGS/SPOUSES]]&gt;0,"YES","NO")</f>
        <v>NO</v>
      </c>
      <c r="P294" t="str">
        <f>IF(Cleanedtable[[#This Row],[Parch]]&gt;0,"YES","NO")</f>
        <v>NO</v>
      </c>
    </row>
    <row r="295" spans="1:16" x14ac:dyDescent="0.35">
      <c r="A295">
        <v>1185</v>
      </c>
      <c r="B295">
        <v>0</v>
      </c>
      <c r="C295">
        <v>1</v>
      </c>
      <c r="D295" t="s">
        <v>434</v>
      </c>
      <c r="E295" t="s">
        <v>11</v>
      </c>
      <c r="F295" t="str">
        <f>IF(Cleanedtable[[#This Row],[Age]]&lt;18,"TEEN",IF(Cleanedtable[[#This Row],[Age]]&lt;30,"YOUTH",IF(Cleanedtable[[#This Row],[Age]]&lt;=59,"ADULT",IF(Cleanedtable[[#This Row],[Age]]&gt;=60,"ELDER"))))</f>
        <v>ADULT</v>
      </c>
      <c r="G295">
        <v>53</v>
      </c>
      <c r="H295">
        <v>1</v>
      </c>
      <c r="I295">
        <v>1</v>
      </c>
      <c r="J295" t="s">
        <v>849</v>
      </c>
      <c r="K295">
        <v>81.8583</v>
      </c>
      <c r="L295" t="s">
        <v>435</v>
      </c>
      <c r="M295" t="s">
        <v>15</v>
      </c>
      <c r="N295" t="str">
        <f>IF(Cleanedtable[[#This Row],[Age]]&lt;18, "YES","NO")</f>
        <v>NO</v>
      </c>
      <c r="O295" t="str">
        <f>IF(Cleanedtable[[#This Row],[SIBLINGS/SPOUSES]]&gt;0,"YES","NO")</f>
        <v>YES</v>
      </c>
      <c r="P295" t="str">
        <f>IF(Cleanedtable[[#This Row],[Parch]]&gt;0,"YES","NO")</f>
        <v>YES</v>
      </c>
    </row>
    <row r="296" spans="1:16" x14ac:dyDescent="0.35">
      <c r="A296">
        <v>1186</v>
      </c>
      <c r="B296">
        <v>0</v>
      </c>
      <c r="C296">
        <v>3</v>
      </c>
      <c r="D296" t="s">
        <v>436</v>
      </c>
      <c r="E296" t="s">
        <v>11</v>
      </c>
      <c r="F296" t="str">
        <f>IF(Cleanedtable[[#This Row],[Age]]&lt;18,"TEEN",IF(Cleanedtable[[#This Row],[Age]]&lt;30,"YOUTH",IF(Cleanedtable[[#This Row],[Age]]&lt;=59,"ADULT",IF(Cleanedtable[[#This Row],[Age]]&gt;=60,"ELDER"))))</f>
        <v>ADULT</v>
      </c>
      <c r="G296">
        <v>36</v>
      </c>
      <c r="H296">
        <v>0</v>
      </c>
      <c r="I296">
        <v>0</v>
      </c>
      <c r="J296" t="s">
        <v>850</v>
      </c>
      <c r="K296">
        <v>9.5</v>
      </c>
      <c r="M296" t="s">
        <v>15</v>
      </c>
      <c r="N296" t="str">
        <f>IF(Cleanedtable[[#This Row],[Age]]&lt;18, "YES","NO")</f>
        <v>NO</v>
      </c>
      <c r="O296" t="str">
        <f>IF(Cleanedtable[[#This Row],[SIBLINGS/SPOUSES]]&gt;0,"YES","NO")</f>
        <v>NO</v>
      </c>
      <c r="P296" t="str">
        <f>IF(Cleanedtable[[#This Row],[Parch]]&gt;0,"YES","NO")</f>
        <v>NO</v>
      </c>
    </row>
    <row r="297" spans="1:16" x14ac:dyDescent="0.35">
      <c r="A297">
        <v>1187</v>
      </c>
      <c r="B297">
        <v>0</v>
      </c>
      <c r="C297">
        <v>3</v>
      </c>
      <c r="D297" t="s">
        <v>437</v>
      </c>
      <c r="E297" t="s">
        <v>11</v>
      </c>
      <c r="F297" t="str">
        <f>IF(Cleanedtable[[#This Row],[Age]]&lt;18,"TEEN",IF(Cleanedtable[[#This Row],[Age]]&lt;30,"YOUTH",IF(Cleanedtable[[#This Row],[Age]]&lt;=59,"ADULT",IF(Cleanedtable[[#This Row],[Age]]&gt;=60,"ELDER"))))</f>
        <v>YOUTH</v>
      </c>
      <c r="G297">
        <v>26</v>
      </c>
      <c r="H297">
        <v>0</v>
      </c>
      <c r="I297">
        <v>0</v>
      </c>
      <c r="J297" t="s">
        <v>851</v>
      </c>
      <c r="K297">
        <v>7.8958000000000004</v>
      </c>
      <c r="M297" t="s">
        <v>15</v>
      </c>
      <c r="N297" t="str">
        <f>IF(Cleanedtable[[#This Row],[Age]]&lt;18, "YES","NO")</f>
        <v>NO</v>
      </c>
      <c r="O297" t="str">
        <f>IF(Cleanedtable[[#This Row],[SIBLINGS/SPOUSES]]&gt;0,"YES","NO")</f>
        <v>NO</v>
      </c>
      <c r="P297" t="str">
        <f>IF(Cleanedtable[[#This Row],[Parch]]&gt;0,"YES","NO")</f>
        <v>NO</v>
      </c>
    </row>
    <row r="298" spans="1:16" x14ac:dyDescent="0.35">
      <c r="A298">
        <v>1188</v>
      </c>
      <c r="B298">
        <v>1</v>
      </c>
      <c r="C298">
        <v>2</v>
      </c>
      <c r="D298" t="s">
        <v>438</v>
      </c>
      <c r="E298" t="s">
        <v>14</v>
      </c>
      <c r="F298" t="str">
        <f>IF(Cleanedtable[[#This Row],[Age]]&lt;18,"TEEN",IF(Cleanedtable[[#This Row],[Age]]&lt;30,"YOUTH",IF(Cleanedtable[[#This Row],[Age]]&lt;=59,"ADULT",IF(Cleanedtable[[#This Row],[Age]]&gt;=60,"ELDER"))))</f>
        <v>TEEN</v>
      </c>
      <c r="G298">
        <v>1</v>
      </c>
      <c r="H298">
        <v>1</v>
      </c>
      <c r="I298">
        <v>2</v>
      </c>
      <c r="J298" t="s">
        <v>852</v>
      </c>
      <c r="K298">
        <v>41.5792</v>
      </c>
      <c r="M298" t="s">
        <v>23</v>
      </c>
      <c r="N298" t="str">
        <f>IF(Cleanedtable[[#This Row],[Age]]&lt;18, "YES","NO")</f>
        <v>YES</v>
      </c>
      <c r="O298" t="str">
        <f>IF(Cleanedtable[[#This Row],[SIBLINGS/SPOUSES]]&gt;0,"YES","NO")</f>
        <v>YES</v>
      </c>
      <c r="P298" t="str">
        <f>IF(Cleanedtable[[#This Row],[Parch]]&gt;0,"YES","NO")</f>
        <v>YES</v>
      </c>
    </row>
    <row r="299" spans="1:16" x14ac:dyDescent="0.35">
      <c r="A299">
        <v>1189</v>
      </c>
      <c r="B299">
        <v>0</v>
      </c>
      <c r="C299">
        <v>3</v>
      </c>
      <c r="D299" t="s">
        <v>440</v>
      </c>
      <c r="E299" t="s">
        <v>11</v>
      </c>
      <c r="F299" t="str">
        <f>IF(Cleanedtable[[#This Row],[Age]]&lt;18,"TEEN",IF(Cleanedtable[[#This Row],[Age]]&lt;30,"YOUTH",IF(Cleanedtable[[#This Row],[Age]]&lt;=59,"ADULT",IF(Cleanedtable[[#This Row],[Age]]&gt;=60,"ELDER"))))</f>
        <v>ADULT</v>
      </c>
      <c r="G299">
        <v>30.2</v>
      </c>
      <c r="H299">
        <v>2</v>
      </c>
      <c r="I299">
        <v>0</v>
      </c>
      <c r="J299" t="s">
        <v>644</v>
      </c>
      <c r="K299">
        <v>21.679200000000002</v>
      </c>
      <c r="M299" t="s">
        <v>23</v>
      </c>
      <c r="N299" t="str">
        <f>IF(Cleanedtable[[#This Row],[Age]]&lt;18, "YES","NO")</f>
        <v>NO</v>
      </c>
      <c r="O299" t="str">
        <f>IF(Cleanedtable[[#This Row],[SIBLINGS/SPOUSES]]&gt;0,"YES","NO")</f>
        <v>YES</v>
      </c>
      <c r="P299" t="str">
        <f>IF(Cleanedtable[[#This Row],[Parch]]&gt;0,"YES","NO")</f>
        <v>NO</v>
      </c>
    </row>
    <row r="300" spans="1:16" x14ac:dyDescent="0.35">
      <c r="A300">
        <v>1190</v>
      </c>
      <c r="B300">
        <v>0</v>
      </c>
      <c r="C300">
        <v>1</v>
      </c>
      <c r="D300" t="s">
        <v>441</v>
      </c>
      <c r="E300" t="s">
        <v>11</v>
      </c>
      <c r="F300" t="str">
        <f>IF(Cleanedtable[[#This Row],[Age]]&lt;18,"TEEN",IF(Cleanedtable[[#This Row],[Age]]&lt;30,"YOUTH",IF(Cleanedtable[[#This Row],[Age]]&lt;=59,"ADULT",IF(Cleanedtable[[#This Row],[Age]]&gt;=60,"ELDER"))))</f>
        <v>ADULT</v>
      </c>
      <c r="G300">
        <v>30</v>
      </c>
      <c r="H300">
        <v>0</v>
      </c>
      <c r="I300">
        <v>0</v>
      </c>
      <c r="J300" t="s">
        <v>853</v>
      </c>
      <c r="K300">
        <v>45.5</v>
      </c>
      <c r="M300" t="s">
        <v>15</v>
      </c>
      <c r="N300" t="str">
        <f>IF(Cleanedtable[[#This Row],[Age]]&lt;18, "YES","NO")</f>
        <v>NO</v>
      </c>
      <c r="O300" t="str">
        <f>IF(Cleanedtable[[#This Row],[SIBLINGS/SPOUSES]]&gt;0,"YES","NO")</f>
        <v>NO</v>
      </c>
      <c r="P300" t="str">
        <f>IF(Cleanedtable[[#This Row],[Parch]]&gt;0,"YES","NO")</f>
        <v>NO</v>
      </c>
    </row>
    <row r="301" spans="1:16" x14ac:dyDescent="0.35">
      <c r="A301">
        <v>1191</v>
      </c>
      <c r="B301">
        <v>0</v>
      </c>
      <c r="C301">
        <v>3</v>
      </c>
      <c r="D301" t="s">
        <v>442</v>
      </c>
      <c r="E301" t="s">
        <v>11</v>
      </c>
      <c r="F301" t="str">
        <f>IF(Cleanedtable[[#This Row],[Age]]&lt;18,"TEEN",IF(Cleanedtable[[#This Row],[Age]]&lt;30,"YOUTH",IF(Cleanedtable[[#This Row],[Age]]&lt;=59,"ADULT",IF(Cleanedtable[[#This Row],[Age]]&gt;=60,"ELDER"))))</f>
        <v>YOUTH</v>
      </c>
      <c r="G301">
        <v>29</v>
      </c>
      <c r="H301">
        <v>0</v>
      </c>
      <c r="I301">
        <v>0</v>
      </c>
      <c r="J301" t="s">
        <v>854</v>
      </c>
      <c r="K301">
        <v>7.8541999999999996</v>
      </c>
      <c r="M301" t="s">
        <v>15</v>
      </c>
      <c r="N301" t="str">
        <f>IF(Cleanedtable[[#This Row],[Age]]&lt;18, "YES","NO")</f>
        <v>NO</v>
      </c>
      <c r="O301" t="str">
        <f>IF(Cleanedtable[[#This Row],[SIBLINGS/SPOUSES]]&gt;0,"YES","NO")</f>
        <v>NO</v>
      </c>
      <c r="P301" t="str">
        <f>IF(Cleanedtable[[#This Row],[Parch]]&gt;0,"YES","NO")</f>
        <v>NO</v>
      </c>
    </row>
    <row r="302" spans="1:16" x14ac:dyDescent="0.35">
      <c r="A302">
        <v>1192</v>
      </c>
      <c r="B302">
        <v>0</v>
      </c>
      <c r="C302">
        <v>3</v>
      </c>
      <c r="D302" t="s">
        <v>443</v>
      </c>
      <c r="E302" t="s">
        <v>11</v>
      </c>
      <c r="F302" t="str">
        <f>IF(Cleanedtable[[#This Row],[Age]]&lt;18,"TEEN",IF(Cleanedtable[[#This Row],[Age]]&lt;30,"YOUTH",IF(Cleanedtable[[#This Row],[Age]]&lt;=59,"ADULT",IF(Cleanedtable[[#This Row],[Age]]&gt;=60,"ELDER"))))</f>
        <v>ADULT</v>
      </c>
      <c r="G302">
        <v>32</v>
      </c>
      <c r="H302">
        <v>0</v>
      </c>
      <c r="I302">
        <v>0</v>
      </c>
      <c r="J302" t="s">
        <v>855</v>
      </c>
      <c r="K302">
        <v>7.7750000000000004</v>
      </c>
      <c r="M302" t="s">
        <v>15</v>
      </c>
      <c r="N302" t="str">
        <f>IF(Cleanedtable[[#This Row],[Age]]&lt;18, "YES","NO")</f>
        <v>NO</v>
      </c>
      <c r="O302" t="str">
        <f>IF(Cleanedtable[[#This Row],[SIBLINGS/SPOUSES]]&gt;0,"YES","NO")</f>
        <v>NO</v>
      </c>
      <c r="P302" t="str">
        <f>IF(Cleanedtable[[#This Row],[Parch]]&gt;0,"YES","NO")</f>
        <v>NO</v>
      </c>
    </row>
    <row r="303" spans="1:16" x14ac:dyDescent="0.35">
      <c r="A303">
        <v>1193</v>
      </c>
      <c r="B303">
        <v>0</v>
      </c>
      <c r="C303">
        <v>2</v>
      </c>
      <c r="D303" t="s">
        <v>444</v>
      </c>
      <c r="E303" t="s">
        <v>11</v>
      </c>
      <c r="F303" t="str">
        <f>IF(Cleanedtable[[#This Row],[Age]]&lt;18,"TEEN",IF(Cleanedtable[[#This Row],[Age]]&lt;30,"YOUTH",IF(Cleanedtable[[#This Row],[Age]]&lt;=59,"ADULT",IF(Cleanedtable[[#This Row],[Age]]&gt;=60,"ELDER"))))</f>
        <v>ADULT</v>
      </c>
      <c r="G303">
        <v>30.2</v>
      </c>
      <c r="H303">
        <v>0</v>
      </c>
      <c r="I303">
        <v>0</v>
      </c>
      <c r="J303" t="s">
        <v>856</v>
      </c>
      <c r="K303">
        <v>15.0458</v>
      </c>
      <c r="L303" t="s">
        <v>445</v>
      </c>
      <c r="M303" t="s">
        <v>23</v>
      </c>
      <c r="N303" t="str">
        <f>IF(Cleanedtable[[#This Row],[Age]]&lt;18, "YES","NO")</f>
        <v>NO</v>
      </c>
      <c r="O303" t="str">
        <f>IF(Cleanedtable[[#This Row],[SIBLINGS/SPOUSES]]&gt;0,"YES","NO")</f>
        <v>NO</v>
      </c>
      <c r="P303" t="str">
        <f>IF(Cleanedtable[[#This Row],[Parch]]&gt;0,"YES","NO")</f>
        <v>NO</v>
      </c>
    </row>
    <row r="304" spans="1:16" x14ac:dyDescent="0.35">
      <c r="A304">
        <v>1194</v>
      </c>
      <c r="B304">
        <v>0</v>
      </c>
      <c r="C304">
        <v>2</v>
      </c>
      <c r="D304" t="s">
        <v>446</v>
      </c>
      <c r="E304" t="s">
        <v>11</v>
      </c>
      <c r="F304" t="str">
        <f>IF(Cleanedtable[[#This Row],[Age]]&lt;18,"TEEN",IF(Cleanedtable[[#This Row],[Age]]&lt;30,"YOUTH",IF(Cleanedtable[[#This Row],[Age]]&lt;=59,"ADULT",IF(Cleanedtable[[#This Row],[Age]]&gt;=60,"ELDER"))))</f>
        <v>ADULT</v>
      </c>
      <c r="G304">
        <v>43</v>
      </c>
      <c r="H304">
        <v>0</v>
      </c>
      <c r="I304">
        <v>1</v>
      </c>
      <c r="J304" t="s">
        <v>285</v>
      </c>
      <c r="K304">
        <v>21</v>
      </c>
      <c r="M304" t="s">
        <v>15</v>
      </c>
      <c r="N304" t="str">
        <f>IF(Cleanedtable[[#This Row],[Age]]&lt;18, "YES","NO")</f>
        <v>NO</v>
      </c>
      <c r="O304" t="str">
        <f>IF(Cleanedtable[[#This Row],[SIBLINGS/SPOUSES]]&gt;0,"YES","NO")</f>
        <v>NO</v>
      </c>
      <c r="P304" t="str">
        <f>IF(Cleanedtable[[#This Row],[Parch]]&gt;0,"YES","NO")</f>
        <v>YES</v>
      </c>
    </row>
    <row r="305" spans="1:16" x14ac:dyDescent="0.35">
      <c r="A305">
        <v>1195</v>
      </c>
      <c r="B305">
        <v>0</v>
      </c>
      <c r="C305">
        <v>3</v>
      </c>
      <c r="D305" t="s">
        <v>447</v>
      </c>
      <c r="E305" t="s">
        <v>11</v>
      </c>
      <c r="F305" t="str">
        <f>IF(Cleanedtable[[#This Row],[Age]]&lt;18,"TEEN",IF(Cleanedtable[[#This Row],[Age]]&lt;30,"YOUTH",IF(Cleanedtable[[#This Row],[Age]]&lt;=59,"ADULT",IF(Cleanedtable[[#This Row],[Age]]&gt;=60,"ELDER"))))</f>
        <v>YOUTH</v>
      </c>
      <c r="G305">
        <v>24</v>
      </c>
      <c r="H305">
        <v>0</v>
      </c>
      <c r="I305">
        <v>0</v>
      </c>
      <c r="J305" t="s">
        <v>857</v>
      </c>
      <c r="K305">
        <v>8.6624999999999996</v>
      </c>
      <c r="M305" t="s">
        <v>15</v>
      </c>
      <c r="N305" t="str">
        <f>IF(Cleanedtable[[#This Row],[Age]]&lt;18, "YES","NO")</f>
        <v>NO</v>
      </c>
      <c r="O305" t="str">
        <f>IF(Cleanedtable[[#This Row],[SIBLINGS/SPOUSES]]&gt;0,"YES","NO")</f>
        <v>NO</v>
      </c>
      <c r="P305" t="str">
        <f>IF(Cleanedtable[[#This Row],[Parch]]&gt;0,"YES","NO")</f>
        <v>NO</v>
      </c>
    </row>
    <row r="306" spans="1:16" x14ac:dyDescent="0.35">
      <c r="A306">
        <v>1196</v>
      </c>
      <c r="B306">
        <v>1</v>
      </c>
      <c r="C306">
        <v>3</v>
      </c>
      <c r="D306" t="s">
        <v>448</v>
      </c>
      <c r="E306" t="s">
        <v>14</v>
      </c>
      <c r="F306" t="str">
        <f>IF(Cleanedtable[[#This Row],[Age]]&lt;18,"TEEN",IF(Cleanedtable[[#This Row],[Age]]&lt;30,"YOUTH",IF(Cleanedtable[[#This Row],[Age]]&lt;=59,"ADULT",IF(Cleanedtable[[#This Row],[Age]]&gt;=60,"ELDER"))))</f>
        <v>ADULT</v>
      </c>
      <c r="G306">
        <v>30.2</v>
      </c>
      <c r="H306">
        <v>0</v>
      </c>
      <c r="I306">
        <v>0</v>
      </c>
      <c r="J306" t="s">
        <v>858</v>
      </c>
      <c r="K306">
        <v>7.75</v>
      </c>
      <c r="M306" t="s">
        <v>12</v>
      </c>
      <c r="N306" t="str">
        <f>IF(Cleanedtable[[#This Row],[Age]]&lt;18, "YES","NO")</f>
        <v>NO</v>
      </c>
      <c r="O306" t="str">
        <f>IF(Cleanedtable[[#This Row],[SIBLINGS/SPOUSES]]&gt;0,"YES","NO")</f>
        <v>NO</v>
      </c>
      <c r="P306" t="str">
        <f>IF(Cleanedtable[[#This Row],[Parch]]&gt;0,"YES","NO")</f>
        <v>NO</v>
      </c>
    </row>
    <row r="307" spans="1:16" x14ac:dyDescent="0.35">
      <c r="A307">
        <v>1197</v>
      </c>
      <c r="B307">
        <v>1</v>
      </c>
      <c r="C307">
        <v>1</v>
      </c>
      <c r="D307" t="s">
        <v>449</v>
      </c>
      <c r="E307" t="s">
        <v>14</v>
      </c>
      <c r="F307" t="str">
        <f>IF(Cleanedtable[[#This Row],[Age]]&lt;18,"TEEN",IF(Cleanedtable[[#This Row],[Age]]&lt;30,"YOUTH",IF(Cleanedtable[[#This Row],[Age]]&lt;=59,"ADULT",IF(Cleanedtable[[#This Row],[Age]]&gt;=60,"ELDER"))))</f>
        <v>ELDER</v>
      </c>
      <c r="G307">
        <v>64</v>
      </c>
      <c r="H307">
        <v>1</v>
      </c>
      <c r="I307">
        <v>1</v>
      </c>
      <c r="J307" t="s">
        <v>859</v>
      </c>
      <c r="K307">
        <v>26.55</v>
      </c>
      <c r="L307" t="s">
        <v>450</v>
      </c>
      <c r="M307" t="s">
        <v>15</v>
      </c>
      <c r="N307" t="str">
        <f>IF(Cleanedtable[[#This Row],[Age]]&lt;18, "YES","NO")</f>
        <v>NO</v>
      </c>
      <c r="O307" t="str">
        <f>IF(Cleanedtable[[#This Row],[SIBLINGS/SPOUSES]]&gt;0,"YES","NO")</f>
        <v>YES</v>
      </c>
      <c r="P307" t="str">
        <f>IF(Cleanedtable[[#This Row],[Parch]]&gt;0,"YES","NO")</f>
        <v>YES</v>
      </c>
    </row>
    <row r="308" spans="1:16" x14ac:dyDescent="0.35">
      <c r="A308">
        <v>1198</v>
      </c>
      <c r="B308">
        <v>0</v>
      </c>
      <c r="C308">
        <v>1</v>
      </c>
      <c r="D308" t="s">
        <v>451</v>
      </c>
      <c r="E308" t="s">
        <v>11</v>
      </c>
      <c r="F308" t="str">
        <f>IF(Cleanedtable[[#This Row],[Age]]&lt;18,"TEEN",IF(Cleanedtable[[#This Row],[Age]]&lt;30,"YOUTH",IF(Cleanedtable[[#This Row],[Age]]&lt;=59,"ADULT",IF(Cleanedtable[[#This Row],[Age]]&gt;=60,"ELDER"))))</f>
        <v>ADULT</v>
      </c>
      <c r="G308">
        <v>30</v>
      </c>
      <c r="H308">
        <v>1</v>
      </c>
      <c r="I308">
        <v>2</v>
      </c>
      <c r="J308" t="s">
        <v>739</v>
      </c>
      <c r="K308">
        <v>151.55000000000001</v>
      </c>
      <c r="L308" t="s">
        <v>452</v>
      </c>
      <c r="M308" t="s">
        <v>15</v>
      </c>
      <c r="N308" t="str">
        <f>IF(Cleanedtable[[#This Row],[Age]]&lt;18, "YES","NO")</f>
        <v>NO</v>
      </c>
      <c r="O308" t="str">
        <f>IF(Cleanedtable[[#This Row],[SIBLINGS/SPOUSES]]&gt;0,"YES","NO")</f>
        <v>YES</v>
      </c>
      <c r="P308" t="str">
        <f>IF(Cleanedtable[[#This Row],[Parch]]&gt;0,"YES","NO")</f>
        <v>YES</v>
      </c>
    </row>
    <row r="309" spans="1:16" x14ac:dyDescent="0.35">
      <c r="A309">
        <v>1199</v>
      </c>
      <c r="B309">
        <v>0</v>
      </c>
      <c r="C309">
        <v>3</v>
      </c>
      <c r="D309" t="s">
        <v>453</v>
      </c>
      <c r="E309" t="s">
        <v>11</v>
      </c>
      <c r="F309" t="str">
        <f>IF(Cleanedtable[[#This Row],[Age]]&lt;18,"TEEN",IF(Cleanedtable[[#This Row],[Age]]&lt;30,"YOUTH",IF(Cleanedtable[[#This Row],[Age]]&lt;=59,"ADULT",IF(Cleanedtable[[#This Row],[Age]]&gt;=60,"ELDER"))))</f>
        <v>TEEN</v>
      </c>
      <c r="G309">
        <v>0.83</v>
      </c>
      <c r="H309">
        <v>0</v>
      </c>
      <c r="I309">
        <v>1</v>
      </c>
      <c r="J309" t="s">
        <v>860</v>
      </c>
      <c r="K309">
        <v>9.35</v>
      </c>
      <c r="M309" t="s">
        <v>15</v>
      </c>
      <c r="N309" t="str">
        <f>IF(Cleanedtable[[#This Row],[Age]]&lt;18, "YES","NO")</f>
        <v>YES</v>
      </c>
      <c r="O309" t="str">
        <f>IF(Cleanedtable[[#This Row],[SIBLINGS/SPOUSES]]&gt;0,"YES","NO")</f>
        <v>NO</v>
      </c>
      <c r="P309" t="str">
        <f>IF(Cleanedtable[[#This Row],[Parch]]&gt;0,"YES","NO")</f>
        <v>YES</v>
      </c>
    </row>
    <row r="310" spans="1:16" x14ac:dyDescent="0.35">
      <c r="A310">
        <v>1200</v>
      </c>
      <c r="B310">
        <v>0</v>
      </c>
      <c r="C310">
        <v>1</v>
      </c>
      <c r="D310" t="s">
        <v>454</v>
      </c>
      <c r="E310" t="s">
        <v>11</v>
      </c>
      <c r="F310" t="str">
        <f>IF(Cleanedtable[[#This Row],[Age]]&lt;18,"TEEN",IF(Cleanedtable[[#This Row],[Age]]&lt;30,"YOUTH",IF(Cleanedtable[[#This Row],[Age]]&lt;=59,"ADULT",IF(Cleanedtable[[#This Row],[Age]]&gt;=60,"ELDER"))))</f>
        <v>ADULT</v>
      </c>
      <c r="G310">
        <v>55</v>
      </c>
      <c r="H310">
        <v>1</v>
      </c>
      <c r="I310">
        <v>1</v>
      </c>
      <c r="J310" t="s">
        <v>861</v>
      </c>
      <c r="K310">
        <v>93.5</v>
      </c>
      <c r="L310" t="s">
        <v>455</v>
      </c>
      <c r="M310" t="s">
        <v>15</v>
      </c>
      <c r="N310" t="str">
        <f>IF(Cleanedtable[[#This Row],[Age]]&lt;18, "YES","NO")</f>
        <v>NO</v>
      </c>
      <c r="O310" t="str">
        <f>IF(Cleanedtable[[#This Row],[SIBLINGS/SPOUSES]]&gt;0,"YES","NO")</f>
        <v>YES</v>
      </c>
      <c r="P310" t="str">
        <f>IF(Cleanedtable[[#This Row],[Parch]]&gt;0,"YES","NO")</f>
        <v>YES</v>
      </c>
    </row>
    <row r="311" spans="1:16" x14ac:dyDescent="0.35">
      <c r="A311">
        <v>1201</v>
      </c>
      <c r="B311">
        <v>1</v>
      </c>
      <c r="C311">
        <v>3</v>
      </c>
      <c r="D311" t="s">
        <v>456</v>
      </c>
      <c r="E311" t="s">
        <v>14</v>
      </c>
      <c r="F311" t="str">
        <f>IF(Cleanedtable[[#This Row],[Age]]&lt;18,"TEEN",IF(Cleanedtable[[#This Row],[Age]]&lt;30,"YOUTH",IF(Cleanedtable[[#This Row],[Age]]&lt;=59,"ADULT",IF(Cleanedtable[[#This Row],[Age]]&gt;=60,"ELDER"))))</f>
        <v>ADULT</v>
      </c>
      <c r="G311">
        <v>45</v>
      </c>
      <c r="H311">
        <v>1</v>
      </c>
      <c r="I311">
        <v>0</v>
      </c>
      <c r="J311" t="s">
        <v>862</v>
      </c>
      <c r="K311">
        <v>14.1083</v>
      </c>
      <c r="M311" t="s">
        <v>15</v>
      </c>
      <c r="N311" t="str">
        <f>IF(Cleanedtable[[#This Row],[Age]]&lt;18, "YES","NO")</f>
        <v>NO</v>
      </c>
      <c r="O311" t="str">
        <f>IF(Cleanedtable[[#This Row],[SIBLINGS/SPOUSES]]&gt;0,"YES","NO")</f>
        <v>YES</v>
      </c>
      <c r="P311" t="str">
        <f>IF(Cleanedtable[[#This Row],[Parch]]&gt;0,"YES","NO")</f>
        <v>NO</v>
      </c>
    </row>
    <row r="312" spans="1:16" x14ac:dyDescent="0.35">
      <c r="A312">
        <v>1202</v>
      </c>
      <c r="B312">
        <v>0</v>
      </c>
      <c r="C312">
        <v>3</v>
      </c>
      <c r="D312" t="s">
        <v>457</v>
      </c>
      <c r="E312" t="s">
        <v>11</v>
      </c>
      <c r="F312" t="str">
        <f>IF(Cleanedtable[[#This Row],[Age]]&lt;18,"TEEN",IF(Cleanedtable[[#This Row],[Age]]&lt;30,"YOUTH",IF(Cleanedtable[[#This Row],[Age]]&lt;=59,"ADULT",IF(Cleanedtable[[#This Row],[Age]]&gt;=60,"ELDER"))))</f>
        <v>YOUTH</v>
      </c>
      <c r="G312">
        <v>18</v>
      </c>
      <c r="H312">
        <v>0</v>
      </c>
      <c r="I312">
        <v>0</v>
      </c>
      <c r="J312" t="s">
        <v>863</v>
      </c>
      <c r="K312">
        <v>8.6624999999999996</v>
      </c>
      <c r="M312" t="s">
        <v>15</v>
      </c>
      <c r="N312" t="str">
        <f>IF(Cleanedtable[[#This Row],[Age]]&lt;18, "YES","NO")</f>
        <v>NO</v>
      </c>
      <c r="O312" t="str">
        <f>IF(Cleanedtable[[#This Row],[SIBLINGS/SPOUSES]]&gt;0,"YES","NO")</f>
        <v>NO</v>
      </c>
      <c r="P312" t="str">
        <f>IF(Cleanedtable[[#This Row],[Parch]]&gt;0,"YES","NO")</f>
        <v>NO</v>
      </c>
    </row>
    <row r="313" spans="1:16" x14ac:dyDescent="0.35">
      <c r="A313">
        <v>1203</v>
      </c>
      <c r="B313">
        <v>0</v>
      </c>
      <c r="C313">
        <v>3</v>
      </c>
      <c r="D313" t="s">
        <v>458</v>
      </c>
      <c r="E313" t="s">
        <v>11</v>
      </c>
      <c r="F313" t="str">
        <f>IF(Cleanedtable[[#This Row],[Age]]&lt;18,"TEEN",IF(Cleanedtable[[#This Row],[Age]]&lt;30,"YOUTH",IF(Cleanedtable[[#This Row],[Age]]&lt;=59,"ADULT",IF(Cleanedtable[[#This Row],[Age]]&gt;=60,"ELDER"))))</f>
        <v>YOUTH</v>
      </c>
      <c r="G313">
        <v>22</v>
      </c>
      <c r="H313">
        <v>0</v>
      </c>
      <c r="I313">
        <v>0</v>
      </c>
      <c r="J313" t="s">
        <v>864</v>
      </c>
      <c r="K313">
        <v>7.2249999999999996</v>
      </c>
      <c r="M313" t="s">
        <v>23</v>
      </c>
      <c r="N313" t="str">
        <f>IF(Cleanedtable[[#This Row],[Age]]&lt;18, "YES","NO")</f>
        <v>NO</v>
      </c>
      <c r="O313" t="str">
        <f>IF(Cleanedtable[[#This Row],[SIBLINGS/SPOUSES]]&gt;0,"YES","NO")</f>
        <v>NO</v>
      </c>
      <c r="P313" t="str">
        <f>IF(Cleanedtable[[#This Row],[Parch]]&gt;0,"YES","NO")</f>
        <v>NO</v>
      </c>
    </row>
    <row r="314" spans="1:16" x14ac:dyDescent="0.35">
      <c r="A314">
        <v>1204</v>
      </c>
      <c r="B314">
        <v>0</v>
      </c>
      <c r="C314">
        <v>3</v>
      </c>
      <c r="D314" t="s">
        <v>459</v>
      </c>
      <c r="E314" t="s">
        <v>11</v>
      </c>
      <c r="F314" t="str">
        <f>IF(Cleanedtable[[#This Row],[Age]]&lt;18,"TEEN",IF(Cleanedtable[[#This Row],[Age]]&lt;30,"YOUTH",IF(Cleanedtable[[#This Row],[Age]]&lt;=59,"ADULT",IF(Cleanedtable[[#This Row],[Age]]&gt;=60,"ELDER"))))</f>
        <v>ADULT</v>
      </c>
      <c r="G314">
        <v>30.2</v>
      </c>
      <c r="H314">
        <v>0</v>
      </c>
      <c r="I314">
        <v>0</v>
      </c>
      <c r="J314" t="s">
        <v>865</v>
      </c>
      <c r="K314">
        <v>7.5750000000000002</v>
      </c>
      <c r="M314" t="s">
        <v>15</v>
      </c>
      <c r="N314" t="str">
        <f>IF(Cleanedtable[[#This Row],[Age]]&lt;18, "YES","NO")</f>
        <v>NO</v>
      </c>
      <c r="O314" t="str">
        <f>IF(Cleanedtable[[#This Row],[SIBLINGS/SPOUSES]]&gt;0,"YES","NO")</f>
        <v>NO</v>
      </c>
      <c r="P314" t="str">
        <f>IF(Cleanedtable[[#This Row],[Parch]]&gt;0,"YES","NO")</f>
        <v>NO</v>
      </c>
    </row>
    <row r="315" spans="1:16" x14ac:dyDescent="0.35">
      <c r="A315">
        <v>1205</v>
      </c>
      <c r="B315">
        <v>1</v>
      </c>
      <c r="C315">
        <v>3</v>
      </c>
      <c r="D315" t="s">
        <v>461</v>
      </c>
      <c r="E315" t="s">
        <v>14</v>
      </c>
      <c r="F315" t="str">
        <f>IF(Cleanedtable[[#This Row],[Age]]&lt;18,"TEEN",IF(Cleanedtable[[#This Row],[Age]]&lt;30,"YOUTH",IF(Cleanedtable[[#This Row],[Age]]&lt;=59,"ADULT",IF(Cleanedtable[[#This Row],[Age]]&gt;=60,"ELDER"))))</f>
        <v>ADULT</v>
      </c>
      <c r="G315">
        <v>37</v>
      </c>
      <c r="H315">
        <v>0</v>
      </c>
      <c r="I315">
        <v>0</v>
      </c>
      <c r="J315" t="s">
        <v>866</v>
      </c>
      <c r="K315">
        <v>7.75</v>
      </c>
      <c r="M315" t="s">
        <v>12</v>
      </c>
      <c r="N315" t="str">
        <f>IF(Cleanedtable[[#This Row],[Age]]&lt;18, "YES","NO")</f>
        <v>NO</v>
      </c>
      <c r="O315" t="str">
        <f>IF(Cleanedtable[[#This Row],[SIBLINGS/SPOUSES]]&gt;0,"YES","NO")</f>
        <v>NO</v>
      </c>
      <c r="P315" t="str">
        <f>IF(Cleanedtable[[#This Row],[Parch]]&gt;0,"YES","NO")</f>
        <v>NO</v>
      </c>
    </row>
    <row r="316" spans="1:16" x14ac:dyDescent="0.35">
      <c r="A316">
        <v>1206</v>
      </c>
      <c r="B316">
        <v>1</v>
      </c>
      <c r="C316">
        <v>1</v>
      </c>
      <c r="D316" t="s">
        <v>462</v>
      </c>
      <c r="E316" t="s">
        <v>14</v>
      </c>
      <c r="F316" t="str">
        <f>IF(Cleanedtable[[#This Row],[Age]]&lt;18,"TEEN",IF(Cleanedtable[[#This Row],[Age]]&lt;30,"YOUTH",IF(Cleanedtable[[#This Row],[Age]]&lt;=59,"ADULT",IF(Cleanedtable[[#This Row],[Age]]&gt;=60,"ELDER"))))</f>
        <v>ADULT</v>
      </c>
      <c r="G316">
        <v>55</v>
      </c>
      <c r="H316">
        <v>0</v>
      </c>
      <c r="I316">
        <v>0</v>
      </c>
      <c r="J316" t="s">
        <v>867</v>
      </c>
      <c r="K316">
        <v>135.63329999999999</v>
      </c>
      <c r="L316" t="s">
        <v>464</v>
      </c>
      <c r="M316" t="s">
        <v>23</v>
      </c>
      <c r="N316" t="str">
        <f>IF(Cleanedtable[[#This Row],[Age]]&lt;18, "YES","NO")</f>
        <v>NO</v>
      </c>
      <c r="O316" t="str">
        <f>IF(Cleanedtable[[#This Row],[SIBLINGS/SPOUSES]]&gt;0,"YES","NO")</f>
        <v>NO</v>
      </c>
      <c r="P316" t="str">
        <f>IF(Cleanedtable[[#This Row],[Parch]]&gt;0,"YES","NO")</f>
        <v>NO</v>
      </c>
    </row>
    <row r="317" spans="1:16" x14ac:dyDescent="0.35">
      <c r="A317">
        <v>1207</v>
      </c>
      <c r="B317">
        <v>1</v>
      </c>
      <c r="C317">
        <v>3</v>
      </c>
      <c r="D317" t="s">
        <v>465</v>
      </c>
      <c r="E317" t="s">
        <v>14</v>
      </c>
      <c r="F317" t="str">
        <f>IF(Cleanedtable[[#This Row],[Age]]&lt;18,"TEEN",IF(Cleanedtable[[#This Row],[Age]]&lt;30,"YOUTH",IF(Cleanedtable[[#This Row],[Age]]&lt;=59,"ADULT",IF(Cleanedtable[[#This Row],[Age]]&gt;=60,"ELDER"))))</f>
        <v>TEEN</v>
      </c>
      <c r="G317">
        <v>17</v>
      </c>
      <c r="H317">
        <v>0</v>
      </c>
      <c r="I317">
        <v>0</v>
      </c>
      <c r="J317" t="s">
        <v>868</v>
      </c>
      <c r="K317">
        <v>7.7332999999999998</v>
      </c>
      <c r="M317" t="s">
        <v>12</v>
      </c>
      <c r="N317" t="str">
        <f>IF(Cleanedtable[[#This Row],[Age]]&lt;18, "YES","NO")</f>
        <v>YES</v>
      </c>
      <c r="O317" t="str">
        <f>IF(Cleanedtable[[#This Row],[SIBLINGS/SPOUSES]]&gt;0,"YES","NO")</f>
        <v>NO</v>
      </c>
      <c r="P317" t="str">
        <f>IF(Cleanedtable[[#This Row],[Parch]]&gt;0,"YES","NO")</f>
        <v>NO</v>
      </c>
    </row>
    <row r="318" spans="1:16" x14ac:dyDescent="0.35">
      <c r="A318">
        <v>1208</v>
      </c>
      <c r="B318">
        <v>0</v>
      </c>
      <c r="C318">
        <v>1</v>
      </c>
      <c r="D318" t="s">
        <v>467</v>
      </c>
      <c r="E318" t="s">
        <v>11</v>
      </c>
      <c r="F318" t="str">
        <f>IF(Cleanedtable[[#This Row],[Age]]&lt;18,"TEEN",IF(Cleanedtable[[#This Row],[Age]]&lt;30,"YOUTH",IF(Cleanedtable[[#This Row],[Age]]&lt;=59,"ADULT",IF(Cleanedtable[[#This Row],[Age]]&gt;=60,"ELDER"))))</f>
        <v>ADULT</v>
      </c>
      <c r="G318">
        <v>57</v>
      </c>
      <c r="H318">
        <v>1</v>
      </c>
      <c r="I318">
        <v>0</v>
      </c>
      <c r="J318" t="s">
        <v>869</v>
      </c>
      <c r="K318">
        <v>146.52080000000001</v>
      </c>
      <c r="L318" t="s">
        <v>469</v>
      </c>
      <c r="M318" t="s">
        <v>23</v>
      </c>
      <c r="N318" t="str">
        <f>IF(Cleanedtable[[#This Row],[Age]]&lt;18, "YES","NO")</f>
        <v>NO</v>
      </c>
      <c r="O318" t="str">
        <f>IF(Cleanedtable[[#This Row],[SIBLINGS/SPOUSES]]&gt;0,"YES","NO")</f>
        <v>YES</v>
      </c>
      <c r="P318" t="str">
        <f>IF(Cleanedtable[[#This Row],[Parch]]&gt;0,"YES","NO")</f>
        <v>NO</v>
      </c>
    </row>
    <row r="319" spans="1:16" x14ac:dyDescent="0.35">
      <c r="A319">
        <v>1209</v>
      </c>
      <c r="B319">
        <v>0</v>
      </c>
      <c r="C319">
        <v>2</v>
      </c>
      <c r="D319" t="s">
        <v>470</v>
      </c>
      <c r="E319" t="s">
        <v>11</v>
      </c>
      <c r="F319" t="str">
        <f>IF(Cleanedtable[[#This Row],[Age]]&lt;18,"TEEN",IF(Cleanedtable[[#This Row],[Age]]&lt;30,"YOUTH",IF(Cleanedtable[[#This Row],[Age]]&lt;=59,"ADULT",IF(Cleanedtable[[#This Row],[Age]]&gt;=60,"ELDER"))))</f>
        <v>YOUTH</v>
      </c>
      <c r="G319">
        <v>19</v>
      </c>
      <c r="H319">
        <v>0</v>
      </c>
      <c r="I319">
        <v>0</v>
      </c>
      <c r="J319" t="s">
        <v>870</v>
      </c>
      <c r="K319">
        <v>10.5</v>
      </c>
      <c r="M319" t="s">
        <v>15</v>
      </c>
      <c r="N319" t="str">
        <f>IF(Cleanedtable[[#This Row],[Age]]&lt;18, "YES","NO")</f>
        <v>NO</v>
      </c>
      <c r="O319" t="str">
        <f>IF(Cleanedtable[[#This Row],[SIBLINGS/SPOUSES]]&gt;0,"YES","NO")</f>
        <v>NO</v>
      </c>
      <c r="P319" t="str">
        <f>IF(Cleanedtable[[#This Row],[Parch]]&gt;0,"YES","NO")</f>
        <v>NO</v>
      </c>
    </row>
    <row r="320" spans="1:16" x14ac:dyDescent="0.35">
      <c r="A320">
        <v>1210</v>
      </c>
      <c r="B320">
        <v>0</v>
      </c>
      <c r="C320">
        <v>3</v>
      </c>
      <c r="D320" t="s">
        <v>471</v>
      </c>
      <c r="E320" t="s">
        <v>11</v>
      </c>
      <c r="F320" t="str">
        <f>IF(Cleanedtable[[#This Row],[Age]]&lt;18,"TEEN",IF(Cleanedtable[[#This Row],[Age]]&lt;30,"YOUTH",IF(Cleanedtable[[#This Row],[Age]]&lt;=59,"ADULT",IF(Cleanedtable[[#This Row],[Age]]&gt;=60,"ELDER"))))</f>
        <v>YOUTH</v>
      </c>
      <c r="G320">
        <v>27</v>
      </c>
      <c r="H320">
        <v>0</v>
      </c>
      <c r="I320">
        <v>0</v>
      </c>
      <c r="J320" t="s">
        <v>871</v>
      </c>
      <c r="K320">
        <v>7.8541999999999996</v>
      </c>
      <c r="M320" t="s">
        <v>15</v>
      </c>
      <c r="N320" t="str">
        <f>IF(Cleanedtable[[#This Row],[Age]]&lt;18, "YES","NO")</f>
        <v>NO</v>
      </c>
      <c r="O320" t="str">
        <f>IF(Cleanedtable[[#This Row],[SIBLINGS/SPOUSES]]&gt;0,"YES","NO")</f>
        <v>NO</v>
      </c>
      <c r="P320" t="str">
        <f>IF(Cleanedtable[[#This Row],[Parch]]&gt;0,"YES","NO")</f>
        <v>NO</v>
      </c>
    </row>
    <row r="321" spans="1:16" x14ac:dyDescent="0.35">
      <c r="A321">
        <v>1211</v>
      </c>
      <c r="B321">
        <v>0</v>
      </c>
      <c r="C321">
        <v>2</v>
      </c>
      <c r="D321" t="s">
        <v>472</v>
      </c>
      <c r="E321" t="s">
        <v>11</v>
      </c>
      <c r="F321" t="str">
        <f>IF(Cleanedtable[[#This Row],[Age]]&lt;18,"TEEN",IF(Cleanedtable[[#This Row],[Age]]&lt;30,"YOUTH",IF(Cleanedtable[[#This Row],[Age]]&lt;=59,"ADULT",IF(Cleanedtable[[#This Row],[Age]]&gt;=60,"ELDER"))))</f>
        <v>YOUTH</v>
      </c>
      <c r="G321">
        <v>22</v>
      </c>
      <c r="H321">
        <v>2</v>
      </c>
      <c r="I321">
        <v>0</v>
      </c>
      <c r="J321" t="s">
        <v>63</v>
      </c>
      <c r="K321">
        <v>31.5</v>
      </c>
      <c r="M321" t="s">
        <v>15</v>
      </c>
      <c r="N321" t="str">
        <f>IF(Cleanedtable[[#This Row],[Age]]&lt;18, "YES","NO")</f>
        <v>NO</v>
      </c>
      <c r="O321" t="str">
        <f>IF(Cleanedtable[[#This Row],[SIBLINGS/SPOUSES]]&gt;0,"YES","NO")</f>
        <v>YES</v>
      </c>
      <c r="P321" t="str">
        <f>IF(Cleanedtable[[#This Row],[Parch]]&gt;0,"YES","NO")</f>
        <v>NO</v>
      </c>
    </row>
    <row r="322" spans="1:16" x14ac:dyDescent="0.35">
      <c r="A322">
        <v>1212</v>
      </c>
      <c r="B322">
        <v>0</v>
      </c>
      <c r="C322">
        <v>3</v>
      </c>
      <c r="D322" t="s">
        <v>473</v>
      </c>
      <c r="E322" t="s">
        <v>11</v>
      </c>
      <c r="F322" t="str">
        <f>IF(Cleanedtable[[#This Row],[Age]]&lt;18,"TEEN",IF(Cleanedtable[[#This Row],[Age]]&lt;30,"YOUTH",IF(Cleanedtable[[#This Row],[Age]]&lt;=59,"ADULT",IF(Cleanedtable[[#This Row],[Age]]&gt;=60,"ELDER"))))</f>
        <v>YOUTH</v>
      </c>
      <c r="G322">
        <v>26</v>
      </c>
      <c r="H322">
        <v>0</v>
      </c>
      <c r="I322">
        <v>0</v>
      </c>
      <c r="J322" t="s">
        <v>872</v>
      </c>
      <c r="K322">
        <v>7.7750000000000004</v>
      </c>
      <c r="M322" t="s">
        <v>15</v>
      </c>
      <c r="N322" t="str">
        <f>IF(Cleanedtable[[#This Row],[Age]]&lt;18, "YES","NO")</f>
        <v>NO</v>
      </c>
      <c r="O322" t="str">
        <f>IF(Cleanedtable[[#This Row],[SIBLINGS/SPOUSES]]&gt;0,"YES","NO")</f>
        <v>NO</v>
      </c>
      <c r="P322" t="str">
        <f>IF(Cleanedtable[[#This Row],[Parch]]&gt;0,"YES","NO")</f>
        <v>NO</v>
      </c>
    </row>
    <row r="323" spans="1:16" x14ac:dyDescent="0.35">
      <c r="A323">
        <v>1213</v>
      </c>
      <c r="B323">
        <v>0</v>
      </c>
      <c r="C323">
        <v>3</v>
      </c>
      <c r="D323" t="s">
        <v>474</v>
      </c>
      <c r="E323" t="s">
        <v>11</v>
      </c>
      <c r="F323" t="str">
        <f>IF(Cleanedtable[[#This Row],[Age]]&lt;18,"TEEN",IF(Cleanedtable[[#This Row],[Age]]&lt;30,"YOUTH",IF(Cleanedtable[[#This Row],[Age]]&lt;=59,"ADULT",IF(Cleanedtable[[#This Row],[Age]]&gt;=60,"ELDER"))))</f>
        <v>YOUTH</v>
      </c>
      <c r="G323">
        <v>25</v>
      </c>
      <c r="H323">
        <v>0</v>
      </c>
      <c r="I323">
        <v>0</v>
      </c>
      <c r="J323" t="s">
        <v>873</v>
      </c>
      <c r="K323">
        <v>7.2291999999999996</v>
      </c>
      <c r="L323" t="s">
        <v>475</v>
      </c>
      <c r="M323" t="s">
        <v>23</v>
      </c>
      <c r="N323" t="str">
        <f>IF(Cleanedtable[[#This Row],[Age]]&lt;18, "YES","NO")</f>
        <v>NO</v>
      </c>
      <c r="O323" t="str">
        <f>IF(Cleanedtable[[#This Row],[SIBLINGS/SPOUSES]]&gt;0,"YES","NO")</f>
        <v>NO</v>
      </c>
      <c r="P323" t="str">
        <f>IF(Cleanedtable[[#This Row],[Parch]]&gt;0,"YES","NO")</f>
        <v>NO</v>
      </c>
    </row>
    <row r="324" spans="1:16" x14ac:dyDescent="0.35">
      <c r="A324">
        <v>1214</v>
      </c>
      <c r="B324">
        <v>0</v>
      </c>
      <c r="C324">
        <v>2</v>
      </c>
      <c r="D324" t="s">
        <v>476</v>
      </c>
      <c r="E324" t="s">
        <v>11</v>
      </c>
      <c r="F324" t="str">
        <f>IF(Cleanedtable[[#This Row],[Age]]&lt;18,"TEEN",IF(Cleanedtable[[#This Row],[Age]]&lt;30,"YOUTH",IF(Cleanedtable[[#This Row],[Age]]&lt;=59,"ADULT",IF(Cleanedtable[[#This Row],[Age]]&gt;=60,"ELDER"))))</f>
        <v>YOUTH</v>
      </c>
      <c r="G324">
        <v>26</v>
      </c>
      <c r="H324">
        <v>0</v>
      </c>
      <c r="I324">
        <v>0</v>
      </c>
      <c r="J324" t="s">
        <v>874</v>
      </c>
      <c r="K324">
        <v>13</v>
      </c>
      <c r="L324" t="s">
        <v>477</v>
      </c>
      <c r="M324" t="s">
        <v>15</v>
      </c>
      <c r="N324" t="str">
        <f>IF(Cleanedtable[[#This Row],[Age]]&lt;18, "YES","NO")</f>
        <v>NO</v>
      </c>
      <c r="O324" t="str">
        <f>IF(Cleanedtable[[#This Row],[SIBLINGS/SPOUSES]]&gt;0,"YES","NO")</f>
        <v>NO</v>
      </c>
      <c r="P324" t="str">
        <f>IF(Cleanedtable[[#This Row],[Parch]]&gt;0,"YES","NO")</f>
        <v>NO</v>
      </c>
    </row>
    <row r="325" spans="1:16" x14ac:dyDescent="0.35">
      <c r="A325">
        <v>1215</v>
      </c>
      <c r="B325">
        <v>0</v>
      </c>
      <c r="C325">
        <v>1</v>
      </c>
      <c r="D325" t="s">
        <v>478</v>
      </c>
      <c r="E325" t="s">
        <v>11</v>
      </c>
      <c r="F325" t="str">
        <f>IF(Cleanedtable[[#This Row],[Age]]&lt;18,"TEEN",IF(Cleanedtable[[#This Row],[Age]]&lt;30,"YOUTH",IF(Cleanedtable[[#This Row],[Age]]&lt;=59,"ADULT",IF(Cleanedtable[[#This Row],[Age]]&gt;=60,"ELDER"))))</f>
        <v>ADULT</v>
      </c>
      <c r="G325">
        <v>33</v>
      </c>
      <c r="H325">
        <v>0</v>
      </c>
      <c r="I325">
        <v>0</v>
      </c>
      <c r="J325" t="s">
        <v>875</v>
      </c>
      <c r="K325">
        <v>26.55</v>
      </c>
      <c r="M325" t="s">
        <v>15</v>
      </c>
      <c r="N325" t="str">
        <f>IF(Cleanedtable[[#This Row],[Age]]&lt;18, "YES","NO")</f>
        <v>NO</v>
      </c>
      <c r="O325" t="str">
        <f>IF(Cleanedtable[[#This Row],[SIBLINGS/SPOUSES]]&gt;0,"YES","NO")</f>
        <v>NO</v>
      </c>
      <c r="P325" t="str">
        <f>IF(Cleanedtable[[#This Row],[Parch]]&gt;0,"YES","NO")</f>
        <v>NO</v>
      </c>
    </row>
    <row r="326" spans="1:16" x14ac:dyDescent="0.35">
      <c r="A326">
        <v>1216</v>
      </c>
      <c r="B326">
        <v>1</v>
      </c>
      <c r="C326">
        <v>1</v>
      </c>
      <c r="D326" t="s">
        <v>479</v>
      </c>
      <c r="E326" t="s">
        <v>14</v>
      </c>
      <c r="F326" t="str">
        <f>IF(Cleanedtable[[#This Row],[Age]]&lt;18,"TEEN",IF(Cleanedtable[[#This Row],[Age]]&lt;30,"YOUTH",IF(Cleanedtable[[#This Row],[Age]]&lt;=59,"ADULT",IF(Cleanedtable[[#This Row],[Age]]&gt;=60,"ELDER"))))</f>
        <v>ADULT</v>
      </c>
      <c r="G326">
        <v>39</v>
      </c>
      <c r="H326">
        <v>0</v>
      </c>
      <c r="I326">
        <v>0</v>
      </c>
      <c r="J326" t="s">
        <v>876</v>
      </c>
      <c r="K326">
        <v>211.33750000000001</v>
      </c>
      <c r="M326" t="s">
        <v>15</v>
      </c>
      <c r="N326" t="str">
        <f>IF(Cleanedtable[[#This Row],[Age]]&lt;18, "YES","NO")</f>
        <v>NO</v>
      </c>
      <c r="O326" t="str">
        <f>IF(Cleanedtable[[#This Row],[SIBLINGS/SPOUSES]]&gt;0,"YES","NO")</f>
        <v>NO</v>
      </c>
      <c r="P326" t="str">
        <f>IF(Cleanedtable[[#This Row],[Parch]]&gt;0,"YES","NO")</f>
        <v>NO</v>
      </c>
    </row>
    <row r="327" spans="1:16" x14ac:dyDescent="0.35">
      <c r="A327">
        <v>1217</v>
      </c>
      <c r="B327">
        <v>0</v>
      </c>
      <c r="C327">
        <v>3</v>
      </c>
      <c r="D327" t="s">
        <v>480</v>
      </c>
      <c r="E327" t="s">
        <v>11</v>
      </c>
      <c r="F327" t="str">
        <f>IF(Cleanedtable[[#This Row],[Age]]&lt;18,"TEEN",IF(Cleanedtable[[#This Row],[Age]]&lt;30,"YOUTH",IF(Cleanedtable[[#This Row],[Age]]&lt;=59,"ADULT",IF(Cleanedtable[[#This Row],[Age]]&gt;=60,"ELDER"))))</f>
        <v>YOUTH</v>
      </c>
      <c r="G327">
        <v>23</v>
      </c>
      <c r="H327">
        <v>0</v>
      </c>
      <c r="I327">
        <v>0</v>
      </c>
      <c r="J327" t="s">
        <v>877</v>
      </c>
      <c r="K327">
        <v>7.05</v>
      </c>
      <c r="M327" t="s">
        <v>15</v>
      </c>
      <c r="N327" t="str">
        <f>IF(Cleanedtable[[#This Row],[Age]]&lt;18, "YES","NO")</f>
        <v>NO</v>
      </c>
      <c r="O327" t="str">
        <f>IF(Cleanedtable[[#This Row],[SIBLINGS/SPOUSES]]&gt;0,"YES","NO")</f>
        <v>NO</v>
      </c>
      <c r="P327" t="str">
        <f>IF(Cleanedtable[[#This Row],[Parch]]&gt;0,"YES","NO")</f>
        <v>NO</v>
      </c>
    </row>
    <row r="328" spans="1:16" x14ac:dyDescent="0.35">
      <c r="A328">
        <v>1218</v>
      </c>
      <c r="B328">
        <v>1</v>
      </c>
      <c r="C328">
        <v>2</v>
      </c>
      <c r="D328" t="s">
        <v>482</v>
      </c>
      <c r="E328" t="s">
        <v>14</v>
      </c>
      <c r="F328" t="str">
        <f>IF(Cleanedtable[[#This Row],[Age]]&lt;18,"TEEN",IF(Cleanedtable[[#This Row],[Age]]&lt;30,"YOUTH",IF(Cleanedtable[[#This Row],[Age]]&lt;=59,"ADULT",IF(Cleanedtable[[#This Row],[Age]]&gt;=60,"ELDER"))))</f>
        <v>TEEN</v>
      </c>
      <c r="G328">
        <v>12</v>
      </c>
      <c r="H328">
        <v>2</v>
      </c>
      <c r="I328">
        <v>1</v>
      </c>
      <c r="J328" t="s">
        <v>767</v>
      </c>
      <c r="K328">
        <v>39</v>
      </c>
      <c r="L328" t="s">
        <v>270</v>
      </c>
      <c r="M328" t="s">
        <v>15</v>
      </c>
      <c r="N328" t="str">
        <f>IF(Cleanedtable[[#This Row],[Age]]&lt;18, "YES","NO")</f>
        <v>YES</v>
      </c>
      <c r="O328" t="str">
        <f>IF(Cleanedtable[[#This Row],[SIBLINGS/SPOUSES]]&gt;0,"YES","NO")</f>
        <v>YES</v>
      </c>
      <c r="P328" t="str">
        <f>IF(Cleanedtable[[#This Row],[Parch]]&gt;0,"YES","NO")</f>
        <v>YES</v>
      </c>
    </row>
    <row r="329" spans="1:16" x14ac:dyDescent="0.35">
      <c r="A329">
        <v>1219</v>
      </c>
      <c r="B329">
        <v>0</v>
      </c>
      <c r="C329">
        <v>1</v>
      </c>
      <c r="D329" t="s">
        <v>483</v>
      </c>
      <c r="E329" t="s">
        <v>11</v>
      </c>
      <c r="F329" t="str">
        <f>IF(Cleanedtable[[#This Row],[Age]]&lt;18,"TEEN",IF(Cleanedtable[[#This Row],[Age]]&lt;30,"YOUTH",IF(Cleanedtable[[#This Row],[Age]]&lt;=59,"ADULT",IF(Cleanedtable[[#This Row],[Age]]&gt;=60,"ELDER"))))</f>
        <v>ADULT</v>
      </c>
      <c r="G329">
        <v>46</v>
      </c>
      <c r="H329">
        <v>0</v>
      </c>
      <c r="I329">
        <v>0</v>
      </c>
      <c r="J329" t="s">
        <v>878</v>
      </c>
      <c r="K329">
        <v>79.2</v>
      </c>
      <c r="M329" t="s">
        <v>23</v>
      </c>
      <c r="N329" t="str">
        <f>IF(Cleanedtable[[#This Row],[Age]]&lt;18, "YES","NO")</f>
        <v>NO</v>
      </c>
      <c r="O329" t="str">
        <f>IF(Cleanedtable[[#This Row],[SIBLINGS/SPOUSES]]&gt;0,"YES","NO")</f>
        <v>NO</v>
      </c>
      <c r="P329" t="str">
        <f>IF(Cleanedtable[[#This Row],[Parch]]&gt;0,"YES","NO")</f>
        <v>NO</v>
      </c>
    </row>
    <row r="330" spans="1:16" x14ac:dyDescent="0.35">
      <c r="A330">
        <v>1220</v>
      </c>
      <c r="B330">
        <v>0</v>
      </c>
      <c r="C330">
        <v>2</v>
      </c>
      <c r="D330" t="s">
        <v>485</v>
      </c>
      <c r="E330" t="s">
        <v>11</v>
      </c>
      <c r="F330" t="str">
        <f>IF(Cleanedtable[[#This Row],[Age]]&lt;18,"TEEN",IF(Cleanedtable[[#This Row],[Age]]&lt;30,"YOUTH",IF(Cleanedtable[[#This Row],[Age]]&lt;=59,"ADULT",IF(Cleanedtable[[#This Row],[Age]]&gt;=60,"ELDER"))))</f>
        <v>YOUTH</v>
      </c>
      <c r="G330">
        <v>29</v>
      </c>
      <c r="H330">
        <v>1</v>
      </c>
      <c r="I330">
        <v>0</v>
      </c>
      <c r="J330" t="s">
        <v>879</v>
      </c>
      <c r="K330">
        <v>26</v>
      </c>
      <c r="M330" t="s">
        <v>15</v>
      </c>
      <c r="N330" t="str">
        <f>IF(Cleanedtable[[#This Row],[Age]]&lt;18, "YES","NO")</f>
        <v>NO</v>
      </c>
      <c r="O330" t="str">
        <f>IF(Cleanedtable[[#This Row],[SIBLINGS/SPOUSES]]&gt;0,"YES","NO")</f>
        <v>YES</v>
      </c>
      <c r="P330" t="str">
        <f>IF(Cleanedtable[[#This Row],[Parch]]&gt;0,"YES","NO")</f>
        <v>NO</v>
      </c>
    </row>
    <row r="331" spans="1:16" x14ac:dyDescent="0.35">
      <c r="A331">
        <v>1221</v>
      </c>
      <c r="B331">
        <v>0</v>
      </c>
      <c r="C331">
        <v>2</v>
      </c>
      <c r="D331" t="s">
        <v>486</v>
      </c>
      <c r="E331" t="s">
        <v>11</v>
      </c>
      <c r="F331" t="str">
        <f>IF(Cleanedtable[[#This Row],[Age]]&lt;18,"TEEN",IF(Cleanedtable[[#This Row],[Age]]&lt;30,"YOUTH",IF(Cleanedtable[[#This Row],[Age]]&lt;=59,"ADULT",IF(Cleanedtable[[#This Row],[Age]]&gt;=60,"ELDER"))))</f>
        <v>YOUTH</v>
      </c>
      <c r="G331">
        <v>21</v>
      </c>
      <c r="H331">
        <v>0</v>
      </c>
      <c r="I331">
        <v>0</v>
      </c>
      <c r="J331" t="s">
        <v>880</v>
      </c>
      <c r="K331">
        <v>13</v>
      </c>
      <c r="M331" t="s">
        <v>15</v>
      </c>
      <c r="N331" t="str">
        <f>IF(Cleanedtable[[#This Row],[Age]]&lt;18, "YES","NO")</f>
        <v>NO</v>
      </c>
      <c r="O331" t="str">
        <f>IF(Cleanedtable[[#This Row],[SIBLINGS/SPOUSES]]&gt;0,"YES","NO")</f>
        <v>NO</v>
      </c>
      <c r="P331" t="str">
        <f>IF(Cleanedtable[[#This Row],[Parch]]&gt;0,"YES","NO")</f>
        <v>NO</v>
      </c>
    </row>
    <row r="332" spans="1:16" x14ac:dyDescent="0.35">
      <c r="A332">
        <v>1222</v>
      </c>
      <c r="B332">
        <v>1</v>
      </c>
      <c r="C332">
        <v>2</v>
      </c>
      <c r="D332" t="s">
        <v>487</v>
      </c>
      <c r="E332" t="s">
        <v>14</v>
      </c>
      <c r="F332" t="str">
        <f>IF(Cleanedtable[[#This Row],[Age]]&lt;18,"TEEN",IF(Cleanedtable[[#This Row],[Age]]&lt;30,"YOUTH",IF(Cleanedtable[[#This Row],[Age]]&lt;=59,"ADULT",IF(Cleanedtable[[#This Row],[Age]]&gt;=60,"ELDER"))))</f>
        <v>ADULT</v>
      </c>
      <c r="G332">
        <v>48</v>
      </c>
      <c r="H332">
        <v>0</v>
      </c>
      <c r="I332">
        <v>2</v>
      </c>
      <c r="J332" t="s">
        <v>267</v>
      </c>
      <c r="K332">
        <v>36.75</v>
      </c>
      <c r="M332" t="s">
        <v>15</v>
      </c>
      <c r="N332" t="str">
        <f>IF(Cleanedtable[[#This Row],[Age]]&lt;18, "YES","NO")</f>
        <v>NO</v>
      </c>
      <c r="O332" t="str">
        <f>IF(Cleanedtable[[#This Row],[SIBLINGS/SPOUSES]]&gt;0,"YES","NO")</f>
        <v>NO</v>
      </c>
      <c r="P332" t="str">
        <f>IF(Cleanedtable[[#This Row],[Parch]]&gt;0,"YES","NO")</f>
        <v>YES</v>
      </c>
    </row>
    <row r="333" spans="1:16" x14ac:dyDescent="0.35">
      <c r="A333">
        <v>1223</v>
      </c>
      <c r="B333">
        <v>0</v>
      </c>
      <c r="C333">
        <v>1</v>
      </c>
      <c r="D333" t="s">
        <v>488</v>
      </c>
      <c r="E333" t="s">
        <v>11</v>
      </c>
      <c r="F333" t="str">
        <f>IF(Cleanedtable[[#This Row],[Age]]&lt;18,"TEEN",IF(Cleanedtable[[#This Row],[Age]]&lt;30,"YOUTH",IF(Cleanedtable[[#This Row],[Age]]&lt;=59,"ADULT",IF(Cleanedtable[[#This Row],[Age]]&gt;=60,"ELDER"))))</f>
        <v>ADULT</v>
      </c>
      <c r="G333">
        <v>39</v>
      </c>
      <c r="H333">
        <v>0</v>
      </c>
      <c r="I333">
        <v>0</v>
      </c>
      <c r="J333" t="s">
        <v>881</v>
      </c>
      <c r="K333">
        <v>29.7</v>
      </c>
      <c r="L333" t="s">
        <v>490</v>
      </c>
      <c r="M333" t="s">
        <v>23</v>
      </c>
      <c r="N333" t="str">
        <f>IF(Cleanedtable[[#This Row],[Age]]&lt;18, "YES","NO")</f>
        <v>NO</v>
      </c>
      <c r="O333" t="str">
        <f>IF(Cleanedtable[[#This Row],[SIBLINGS/SPOUSES]]&gt;0,"YES","NO")</f>
        <v>NO</v>
      </c>
      <c r="P333" t="str">
        <f>IF(Cleanedtable[[#This Row],[Parch]]&gt;0,"YES","NO")</f>
        <v>NO</v>
      </c>
    </row>
    <row r="334" spans="1:16" x14ac:dyDescent="0.35">
      <c r="A334">
        <v>1224</v>
      </c>
      <c r="B334">
        <v>0</v>
      </c>
      <c r="C334">
        <v>3</v>
      </c>
      <c r="D334" t="s">
        <v>491</v>
      </c>
      <c r="E334" t="s">
        <v>11</v>
      </c>
      <c r="F334" t="str">
        <f>IF(Cleanedtable[[#This Row],[Age]]&lt;18,"TEEN",IF(Cleanedtable[[#This Row],[Age]]&lt;30,"YOUTH",IF(Cleanedtable[[#This Row],[Age]]&lt;=59,"ADULT",IF(Cleanedtable[[#This Row],[Age]]&gt;=60,"ELDER"))))</f>
        <v>ADULT</v>
      </c>
      <c r="G334">
        <v>30.2</v>
      </c>
      <c r="H334">
        <v>0</v>
      </c>
      <c r="I334">
        <v>0</v>
      </c>
      <c r="J334" t="s">
        <v>882</v>
      </c>
      <c r="K334">
        <v>7.2249999999999996</v>
      </c>
      <c r="M334" t="s">
        <v>23</v>
      </c>
      <c r="N334" t="str">
        <f>IF(Cleanedtable[[#This Row],[Age]]&lt;18, "YES","NO")</f>
        <v>NO</v>
      </c>
      <c r="O334" t="str">
        <f>IF(Cleanedtable[[#This Row],[SIBLINGS/SPOUSES]]&gt;0,"YES","NO")</f>
        <v>NO</v>
      </c>
      <c r="P334" t="str">
        <f>IF(Cleanedtable[[#This Row],[Parch]]&gt;0,"YES","NO")</f>
        <v>NO</v>
      </c>
    </row>
    <row r="335" spans="1:16" x14ac:dyDescent="0.35">
      <c r="A335">
        <v>1225</v>
      </c>
      <c r="B335">
        <v>1</v>
      </c>
      <c r="C335">
        <v>3</v>
      </c>
      <c r="D335" t="s">
        <v>492</v>
      </c>
      <c r="E335" t="s">
        <v>14</v>
      </c>
      <c r="F335" t="str">
        <f>IF(Cleanedtable[[#This Row],[Age]]&lt;18,"TEEN",IF(Cleanedtable[[#This Row],[Age]]&lt;30,"YOUTH",IF(Cleanedtable[[#This Row],[Age]]&lt;=59,"ADULT",IF(Cleanedtable[[#This Row],[Age]]&gt;=60,"ELDER"))))</f>
        <v>YOUTH</v>
      </c>
      <c r="G335">
        <v>19</v>
      </c>
      <c r="H335">
        <v>1</v>
      </c>
      <c r="I335">
        <v>1</v>
      </c>
      <c r="J335" t="s">
        <v>883</v>
      </c>
      <c r="K335">
        <v>15.7417</v>
      </c>
      <c r="M335" t="s">
        <v>23</v>
      </c>
      <c r="N335" t="str">
        <f>IF(Cleanedtable[[#This Row],[Age]]&lt;18, "YES","NO")</f>
        <v>NO</v>
      </c>
      <c r="O335" t="str">
        <f>IF(Cleanedtable[[#This Row],[SIBLINGS/SPOUSES]]&gt;0,"YES","NO")</f>
        <v>YES</v>
      </c>
      <c r="P335" t="str">
        <f>IF(Cleanedtable[[#This Row],[Parch]]&gt;0,"YES","NO")</f>
        <v>YES</v>
      </c>
    </row>
    <row r="336" spans="1:16" x14ac:dyDescent="0.35">
      <c r="A336">
        <v>1226</v>
      </c>
      <c r="B336">
        <v>0</v>
      </c>
      <c r="C336">
        <v>3</v>
      </c>
      <c r="D336" t="s">
        <v>493</v>
      </c>
      <c r="E336" t="s">
        <v>11</v>
      </c>
      <c r="F336" t="str">
        <f>IF(Cleanedtable[[#This Row],[Age]]&lt;18,"TEEN",IF(Cleanedtable[[#This Row],[Age]]&lt;30,"YOUTH",IF(Cleanedtable[[#This Row],[Age]]&lt;=59,"ADULT",IF(Cleanedtable[[#This Row],[Age]]&gt;=60,"ELDER"))))</f>
        <v>YOUTH</v>
      </c>
      <c r="G336">
        <v>27</v>
      </c>
      <c r="H336">
        <v>0</v>
      </c>
      <c r="I336">
        <v>0</v>
      </c>
      <c r="J336" t="s">
        <v>884</v>
      </c>
      <c r="K336">
        <v>7.8958000000000004</v>
      </c>
      <c r="M336" t="s">
        <v>15</v>
      </c>
      <c r="N336" t="str">
        <f>IF(Cleanedtable[[#This Row],[Age]]&lt;18, "YES","NO")</f>
        <v>NO</v>
      </c>
      <c r="O336" t="str">
        <f>IF(Cleanedtable[[#This Row],[SIBLINGS/SPOUSES]]&gt;0,"YES","NO")</f>
        <v>NO</v>
      </c>
      <c r="P336" t="str">
        <f>IF(Cleanedtable[[#This Row],[Parch]]&gt;0,"YES","NO")</f>
        <v>NO</v>
      </c>
    </row>
    <row r="337" spans="1:16" x14ac:dyDescent="0.35">
      <c r="A337">
        <v>1227</v>
      </c>
      <c r="B337">
        <v>0</v>
      </c>
      <c r="C337">
        <v>1</v>
      </c>
      <c r="D337" t="s">
        <v>494</v>
      </c>
      <c r="E337" t="s">
        <v>11</v>
      </c>
      <c r="F337" t="str">
        <f>IF(Cleanedtable[[#This Row],[Age]]&lt;18,"TEEN",IF(Cleanedtable[[#This Row],[Age]]&lt;30,"YOUTH",IF(Cleanedtable[[#This Row],[Age]]&lt;=59,"ADULT",IF(Cleanedtable[[#This Row],[Age]]&gt;=60,"ELDER"))))</f>
        <v>ADULT</v>
      </c>
      <c r="G337">
        <v>30</v>
      </c>
      <c r="H337">
        <v>0</v>
      </c>
      <c r="I337">
        <v>0</v>
      </c>
      <c r="J337" t="s">
        <v>885</v>
      </c>
      <c r="K337">
        <v>26</v>
      </c>
      <c r="L337" t="s">
        <v>495</v>
      </c>
      <c r="M337" t="s">
        <v>15</v>
      </c>
      <c r="N337" t="str">
        <f>IF(Cleanedtable[[#This Row],[Age]]&lt;18, "YES","NO")</f>
        <v>NO</v>
      </c>
      <c r="O337" t="str">
        <f>IF(Cleanedtable[[#This Row],[SIBLINGS/SPOUSES]]&gt;0,"YES","NO")</f>
        <v>NO</v>
      </c>
      <c r="P337" t="str">
        <f>IF(Cleanedtable[[#This Row],[Parch]]&gt;0,"YES","NO")</f>
        <v>NO</v>
      </c>
    </row>
    <row r="338" spans="1:16" x14ac:dyDescent="0.35">
      <c r="A338">
        <v>1228</v>
      </c>
      <c r="B338">
        <v>0</v>
      </c>
      <c r="C338">
        <v>2</v>
      </c>
      <c r="D338" t="s">
        <v>496</v>
      </c>
      <c r="E338" t="s">
        <v>11</v>
      </c>
      <c r="F338" t="str">
        <f>IF(Cleanedtable[[#This Row],[Age]]&lt;18,"TEEN",IF(Cleanedtable[[#This Row],[Age]]&lt;30,"YOUTH",IF(Cleanedtable[[#This Row],[Age]]&lt;=59,"ADULT",IF(Cleanedtable[[#This Row],[Age]]&gt;=60,"ELDER"))))</f>
        <v>ADULT</v>
      </c>
      <c r="G338">
        <v>32</v>
      </c>
      <c r="H338">
        <v>0</v>
      </c>
      <c r="I338">
        <v>0</v>
      </c>
      <c r="J338" t="s">
        <v>886</v>
      </c>
      <c r="K338">
        <v>13</v>
      </c>
      <c r="M338" t="s">
        <v>15</v>
      </c>
      <c r="N338" t="str">
        <f>IF(Cleanedtable[[#This Row],[Age]]&lt;18, "YES","NO")</f>
        <v>NO</v>
      </c>
      <c r="O338" t="str">
        <f>IF(Cleanedtable[[#This Row],[SIBLINGS/SPOUSES]]&gt;0,"YES","NO")</f>
        <v>NO</v>
      </c>
      <c r="P338" t="str">
        <f>IF(Cleanedtable[[#This Row],[Parch]]&gt;0,"YES","NO")</f>
        <v>NO</v>
      </c>
    </row>
    <row r="339" spans="1:16" x14ac:dyDescent="0.35">
      <c r="A339">
        <v>1229</v>
      </c>
      <c r="B339">
        <v>0</v>
      </c>
      <c r="C339">
        <v>3</v>
      </c>
      <c r="D339" t="s">
        <v>497</v>
      </c>
      <c r="E339" t="s">
        <v>11</v>
      </c>
      <c r="F339" t="str">
        <f>IF(Cleanedtable[[#This Row],[Age]]&lt;18,"TEEN",IF(Cleanedtable[[#This Row],[Age]]&lt;30,"YOUTH",IF(Cleanedtable[[#This Row],[Age]]&lt;=59,"ADULT",IF(Cleanedtable[[#This Row],[Age]]&gt;=60,"ELDER"))))</f>
        <v>ADULT</v>
      </c>
      <c r="G339">
        <v>39</v>
      </c>
      <c r="H339">
        <v>0</v>
      </c>
      <c r="I339">
        <v>2</v>
      </c>
      <c r="J339" t="s">
        <v>887</v>
      </c>
      <c r="K339">
        <v>7.2291999999999996</v>
      </c>
      <c r="M339" t="s">
        <v>23</v>
      </c>
      <c r="N339" t="str">
        <f>IF(Cleanedtable[[#This Row],[Age]]&lt;18, "YES","NO")</f>
        <v>NO</v>
      </c>
      <c r="O339" t="str">
        <f>IF(Cleanedtable[[#This Row],[SIBLINGS/SPOUSES]]&gt;0,"YES","NO")</f>
        <v>NO</v>
      </c>
      <c r="P339" t="str">
        <f>IF(Cleanedtable[[#This Row],[Parch]]&gt;0,"YES","NO")</f>
        <v>YES</v>
      </c>
    </row>
    <row r="340" spans="1:16" x14ac:dyDescent="0.35">
      <c r="A340">
        <v>1230</v>
      </c>
      <c r="B340">
        <v>0</v>
      </c>
      <c r="C340">
        <v>2</v>
      </c>
      <c r="D340" t="s">
        <v>498</v>
      </c>
      <c r="E340" t="s">
        <v>11</v>
      </c>
      <c r="F340" t="str">
        <f>IF(Cleanedtable[[#This Row],[Age]]&lt;18,"TEEN",IF(Cleanedtable[[#This Row],[Age]]&lt;30,"YOUTH",IF(Cleanedtable[[#This Row],[Age]]&lt;=59,"ADULT",IF(Cleanedtable[[#This Row],[Age]]&gt;=60,"ELDER"))))</f>
        <v>YOUTH</v>
      </c>
      <c r="G340">
        <v>25</v>
      </c>
      <c r="H340">
        <v>0</v>
      </c>
      <c r="I340">
        <v>0</v>
      </c>
      <c r="J340" t="s">
        <v>63</v>
      </c>
      <c r="K340">
        <v>31.5</v>
      </c>
      <c r="M340" t="s">
        <v>15</v>
      </c>
      <c r="N340" t="str">
        <f>IF(Cleanedtable[[#This Row],[Age]]&lt;18, "YES","NO")</f>
        <v>NO</v>
      </c>
      <c r="O340" t="str">
        <f>IF(Cleanedtable[[#This Row],[SIBLINGS/SPOUSES]]&gt;0,"YES","NO")</f>
        <v>NO</v>
      </c>
      <c r="P340" t="str">
        <f>IF(Cleanedtable[[#This Row],[Parch]]&gt;0,"YES","NO")</f>
        <v>NO</v>
      </c>
    </row>
    <row r="341" spans="1:16" x14ac:dyDescent="0.35">
      <c r="A341">
        <v>1231</v>
      </c>
      <c r="B341">
        <v>0</v>
      </c>
      <c r="C341">
        <v>3</v>
      </c>
      <c r="D341" t="s">
        <v>499</v>
      </c>
      <c r="E341" t="s">
        <v>11</v>
      </c>
      <c r="F341" t="str">
        <f>IF(Cleanedtable[[#This Row],[Age]]&lt;18,"TEEN",IF(Cleanedtable[[#This Row],[Age]]&lt;30,"YOUTH",IF(Cleanedtable[[#This Row],[Age]]&lt;=59,"ADULT",IF(Cleanedtable[[#This Row],[Age]]&gt;=60,"ELDER"))))</f>
        <v>ADULT</v>
      </c>
      <c r="G341">
        <v>30.2</v>
      </c>
      <c r="H341">
        <v>0</v>
      </c>
      <c r="I341">
        <v>0</v>
      </c>
      <c r="J341" t="s">
        <v>888</v>
      </c>
      <c r="K341">
        <v>7.2291999999999996</v>
      </c>
      <c r="M341" t="s">
        <v>23</v>
      </c>
      <c r="N341" t="str">
        <f>IF(Cleanedtable[[#This Row],[Age]]&lt;18, "YES","NO")</f>
        <v>NO</v>
      </c>
      <c r="O341" t="str">
        <f>IF(Cleanedtable[[#This Row],[SIBLINGS/SPOUSES]]&gt;0,"YES","NO")</f>
        <v>NO</v>
      </c>
      <c r="P341" t="str">
        <f>IF(Cleanedtable[[#This Row],[Parch]]&gt;0,"YES","NO")</f>
        <v>NO</v>
      </c>
    </row>
    <row r="342" spans="1:16" x14ac:dyDescent="0.35">
      <c r="A342">
        <v>1232</v>
      </c>
      <c r="B342">
        <v>0</v>
      </c>
      <c r="C342">
        <v>2</v>
      </c>
      <c r="D342" t="s">
        <v>500</v>
      </c>
      <c r="E342" t="s">
        <v>11</v>
      </c>
      <c r="F342" t="str">
        <f>IF(Cleanedtable[[#This Row],[Age]]&lt;18,"TEEN",IF(Cleanedtable[[#This Row],[Age]]&lt;30,"YOUTH",IF(Cleanedtable[[#This Row],[Age]]&lt;=59,"ADULT",IF(Cleanedtable[[#This Row],[Age]]&gt;=60,"ELDER"))))</f>
        <v>YOUTH</v>
      </c>
      <c r="G342">
        <v>18</v>
      </c>
      <c r="H342">
        <v>0</v>
      </c>
      <c r="I342">
        <v>0</v>
      </c>
      <c r="J342" t="s">
        <v>501</v>
      </c>
      <c r="K342">
        <v>10.5</v>
      </c>
      <c r="M342" t="s">
        <v>15</v>
      </c>
      <c r="N342" t="str">
        <f>IF(Cleanedtable[[#This Row],[Age]]&lt;18, "YES","NO")</f>
        <v>NO</v>
      </c>
      <c r="O342" t="str">
        <f>IF(Cleanedtable[[#This Row],[SIBLINGS/SPOUSES]]&gt;0,"YES","NO")</f>
        <v>NO</v>
      </c>
      <c r="P342" t="str">
        <f>IF(Cleanedtable[[#This Row],[Parch]]&gt;0,"YES","NO")</f>
        <v>NO</v>
      </c>
    </row>
    <row r="343" spans="1:16" x14ac:dyDescent="0.35">
      <c r="A343">
        <v>1233</v>
      </c>
      <c r="B343">
        <v>0</v>
      </c>
      <c r="C343">
        <v>3</v>
      </c>
      <c r="D343" t="s">
        <v>502</v>
      </c>
      <c r="E343" t="s">
        <v>11</v>
      </c>
      <c r="F343" t="str">
        <f>IF(Cleanedtable[[#This Row],[Age]]&lt;18,"TEEN",IF(Cleanedtable[[#This Row],[Age]]&lt;30,"YOUTH",IF(Cleanedtable[[#This Row],[Age]]&lt;=59,"ADULT",IF(Cleanedtable[[#This Row],[Age]]&gt;=60,"ELDER"))))</f>
        <v>ADULT</v>
      </c>
      <c r="G343">
        <v>32</v>
      </c>
      <c r="H343">
        <v>0</v>
      </c>
      <c r="I343">
        <v>0</v>
      </c>
      <c r="J343" t="s">
        <v>889</v>
      </c>
      <c r="K343">
        <v>7.5792000000000002</v>
      </c>
      <c r="M343" t="s">
        <v>15</v>
      </c>
      <c r="N343" t="str">
        <f>IF(Cleanedtable[[#This Row],[Age]]&lt;18, "YES","NO")</f>
        <v>NO</v>
      </c>
      <c r="O343" t="str">
        <f>IF(Cleanedtable[[#This Row],[SIBLINGS/SPOUSES]]&gt;0,"YES","NO")</f>
        <v>NO</v>
      </c>
      <c r="P343" t="str">
        <f>IF(Cleanedtable[[#This Row],[Parch]]&gt;0,"YES","NO")</f>
        <v>NO</v>
      </c>
    </row>
    <row r="344" spans="1:16" x14ac:dyDescent="0.35">
      <c r="A344">
        <v>1234</v>
      </c>
      <c r="B344">
        <v>0</v>
      </c>
      <c r="C344">
        <v>3</v>
      </c>
      <c r="D344" t="s">
        <v>503</v>
      </c>
      <c r="E344" t="s">
        <v>11</v>
      </c>
      <c r="F344" t="str">
        <f>IF(Cleanedtable[[#This Row],[Age]]&lt;18,"TEEN",IF(Cleanedtable[[#This Row],[Age]]&lt;30,"YOUTH",IF(Cleanedtable[[#This Row],[Age]]&lt;=59,"ADULT",IF(Cleanedtable[[#This Row],[Age]]&gt;=60,"ELDER"))))</f>
        <v>ADULT</v>
      </c>
      <c r="G344">
        <v>30.2</v>
      </c>
      <c r="H344">
        <v>1</v>
      </c>
      <c r="I344">
        <v>9</v>
      </c>
      <c r="J344" t="s">
        <v>774</v>
      </c>
      <c r="K344">
        <v>69.55</v>
      </c>
      <c r="M344" t="s">
        <v>15</v>
      </c>
      <c r="N344" t="str">
        <f>IF(Cleanedtable[[#This Row],[Age]]&lt;18, "YES","NO")</f>
        <v>NO</v>
      </c>
      <c r="O344" t="str">
        <f>IF(Cleanedtable[[#This Row],[SIBLINGS/SPOUSES]]&gt;0,"YES","NO")</f>
        <v>YES</v>
      </c>
      <c r="P344" t="str">
        <f>IF(Cleanedtable[[#This Row],[Parch]]&gt;0,"YES","NO")</f>
        <v>YES</v>
      </c>
    </row>
    <row r="345" spans="1:16" x14ac:dyDescent="0.35">
      <c r="A345">
        <v>1235</v>
      </c>
      <c r="B345">
        <v>1</v>
      </c>
      <c r="C345">
        <v>1</v>
      </c>
      <c r="D345" t="s">
        <v>504</v>
      </c>
      <c r="E345" t="s">
        <v>14</v>
      </c>
      <c r="F345" t="str">
        <f>IF(Cleanedtable[[#This Row],[Age]]&lt;18,"TEEN",IF(Cleanedtable[[#This Row],[Age]]&lt;30,"YOUTH",IF(Cleanedtable[[#This Row],[Age]]&lt;=59,"ADULT",IF(Cleanedtable[[#This Row],[Age]]&gt;=60,"ELDER"))))</f>
        <v>ADULT</v>
      </c>
      <c r="G345">
        <v>58</v>
      </c>
      <c r="H345">
        <v>0</v>
      </c>
      <c r="I345">
        <v>1</v>
      </c>
      <c r="J345" t="s">
        <v>890</v>
      </c>
      <c r="K345">
        <v>512.32920000000001</v>
      </c>
      <c r="L345" t="s">
        <v>506</v>
      </c>
      <c r="M345" t="s">
        <v>23</v>
      </c>
      <c r="N345" t="str">
        <f>IF(Cleanedtable[[#This Row],[Age]]&lt;18, "YES","NO")</f>
        <v>NO</v>
      </c>
      <c r="O345" t="str">
        <f>IF(Cleanedtable[[#This Row],[SIBLINGS/SPOUSES]]&gt;0,"YES","NO")</f>
        <v>NO</v>
      </c>
      <c r="P345" t="str">
        <f>IF(Cleanedtable[[#This Row],[Parch]]&gt;0,"YES","NO")</f>
        <v>YES</v>
      </c>
    </row>
    <row r="346" spans="1:16" x14ac:dyDescent="0.35">
      <c r="A346">
        <v>1236</v>
      </c>
      <c r="B346">
        <v>0</v>
      </c>
      <c r="C346">
        <v>3</v>
      </c>
      <c r="D346" t="s">
        <v>507</v>
      </c>
      <c r="E346" t="s">
        <v>11</v>
      </c>
      <c r="F346" t="str">
        <f>IF(Cleanedtable[[#This Row],[Age]]&lt;18,"TEEN",IF(Cleanedtable[[#This Row],[Age]]&lt;30,"YOUTH",IF(Cleanedtable[[#This Row],[Age]]&lt;=59,"ADULT",IF(Cleanedtable[[#This Row],[Age]]&gt;=60,"ELDER"))))</f>
        <v>ADULT</v>
      </c>
      <c r="G346">
        <v>30.2</v>
      </c>
      <c r="H346">
        <v>1</v>
      </c>
      <c r="I346">
        <v>1</v>
      </c>
      <c r="J346" t="s">
        <v>294</v>
      </c>
      <c r="K346">
        <v>14.5</v>
      </c>
      <c r="M346" t="s">
        <v>15</v>
      </c>
      <c r="N346" t="str">
        <f>IF(Cleanedtable[[#This Row],[Age]]&lt;18, "YES","NO")</f>
        <v>NO</v>
      </c>
      <c r="O346" t="str">
        <f>IF(Cleanedtable[[#This Row],[SIBLINGS/SPOUSES]]&gt;0,"YES","NO")</f>
        <v>YES</v>
      </c>
      <c r="P346" t="str">
        <f>IF(Cleanedtable[[#This Row],[Parch]]&gt;0,"YES","NO")</f>
        <v>YES</v>
      </c>
    </row>
    <row r="347" spans="1:16" x14ac:dyDescent="0.35">
      <c r="A347">
        <v>1237</v>
      </c>
      <c r="B347">
        <v>1</v>
      </c>
      <c r="C347">
        <v>3</v>
      </c>
      <c r="D347" t="s">
        <v>508</v>
      </c>
      <c r="E347" t="s">
        <v>14</v>
      </c>
      <c r="F347" t="str">
        <f>IF(Cleanedtable[[#This Row],[Age]]&lt;18,"TEEN",IF(Cleanedtable[[#This Row],[Age]]&lt;30,"YOUTH",IF(Cleanedtable[[#This Row],[Age]]&lt;=59,"ADULT",IF(Cleanedtable[[#This Row],[Age]]&gt;=60,"ELDER"))))</f>
        <v>TEEN</v>
      </c>
      <c r="G347">
        <v>16</v>
      </c>
      <c r="H347">
        <v>0</v>
      </c>
      <c r="I347">
        <v>0</v>
      </c>
      <c r="J347" t="s">
        <v>891</v>
      </c>
      <c r="K347">
        <v>7.65</v>
      </c>
      <c r="M347" t="s">
        <v>15</v>
      </c>
      <c r="N347" t="str">
        <f>IF(Cleanedtable[[#This Row],[Age]]&lt;18, "YES","NO")</f>
        <v>YES</v>
      </c>
      <c r="O347" t="str">
        <f>IF(Cleanedtable[[#This Row],[SIBLINGS/SPOUSES]]&gt;0,"YES","NO")</f>
        <v>NO</v>
      </c>
      <c r="P347" t="str">
        <f>IF(Cleanedtable[[#This Row],[Parch]]&gt;0,"YES","NO")</f>
        <v>NO</v>
      </c>
    </row>
    <row r="348" spans="1:16" x14ac:dyDescent="0.35">
      <c r="A348">
        <v>1238</v>
      </c>
      <c r="B348">
        <v>0</v>
      </c>
      <c r="C348">
        <v>2</v>
      </c>
      <c r="D348" t="s">
        <v>509</v>
      </c>
      <c r="E348" t="s">
        <v>11</v>
      </c>
      <c r="F348" t="str">
        <f>IF(Cleanedtable[[#This Row],[Age]]&lt;18,"TEEN",IF(Cleanedtable[[#This Row],[Age]]&lt;30,"YOUTH",IF(Cleanedtable[[#This Row],[Age]]&lt;=59,"ADULT",IF(Cleanedtable[[#This Row],[Age]]&gt;=60,"ELDER"))))</f>
        <v>YOUTH</v>
      </c>
      <c r="G348">
        <v>26</v>
      </c>
      <c r="H348">
        <v>0</v>
      </c>
      <c r="I348">
        <v>0</v>
      </c>
      <c r="J348" t="s">
        <v>892</v>
      </c>
      <c r="K348">
        <v>13</v>
      </c>
      <c r="M348" t="s">
        <v>15</v>
      </c>
      <c r="N348" t="str">
        <f>IF(Cleanedtable[[#This Row],[Age]]&lt;18, "YES","NO")</f>
        <v>NO</v>
      </c>
      <c r="O348" t="str">
        <f>IF(Cleanedtable[[#This Row],[SIBLINGS/SPOUSES]]&gt;0,"YES","NO")</f>
        <v>NO</v>
      </c>
      <c r="P348" t="str">
        <f>IF(Cleanedtable[[#This Row],[Parch]]&gt;0,"YES","NO")</f>
        <v>NO</v>
      </c>
    </row>
    <row r="349" spans="1:16" x14ac:dyDescent="0.35">
      <c r="A349">
        <v>1239</v>
      </c>
      <c r="B349">
        <v>1</v>
      </c>
      <c r="C349">
        <v>3</v>
      </c>
      <c r="D349" t="s">
        <v>510</v>
      </c>
      <c r="E349" t="s">
        <v>14</v>
      </c>
      <c r="F349" t="str">
        <f>IF(Cleanedtable[[#This Row],[Age]]&lt;18,"TEEN",IF(Cleanedtable[[#This Row],[Age]]&lt;30,"YOUTH",IF(Cleanedtable[[#This Row],[Age]]&lt;=59,"ADULT",IF(Cleanedtable[[#This Row],[Age]]&gt;=60,"ELDER"))))</f>
        <v>ADULT</v>
      </c>
      <c r="G349">
        <v>38</v>
      </c>
      <c r="H349">
        <v>0</v>
      </c>
      <c r="I349">
        <v>0</v>
      </c>
      <c r="J349" t="s">
        <v>893</v>
      </c>
      <c r="K349">
        <v>7.2291999999999996</v>
      </c>
      <c r="M349" t="s">
        <v>23</v>
      </c>
      <c r="N349" t="str">
        <f>IF(Cleanedtable[[#This Row],[Age]]&lt;18, "YES","NO")</f>
        <v>NO</v>
      </c>
      <c r="O349" t="str">
        <f>IF(Cleanedtable[[#This Row],[SIBLINGS/SPOUSES]]&gt;0,"YES","NO")</f>
        <v>NO</v>
      </c>
      <c r="P349" t="str">
        <f>IF(Cleanedtable[[#This Row],[Parch]]&gt;0,"YES","NO")</f>
        <v>NO</v>
      </c>
    </row>
    <row r="350" spans="1:16" x14ac:dyDescent="0.35">
      <c r="A350">
        <v>1240</v>
      </c>
      <c r="B350">
        <v>0</v>
      </c>
      <c r="C350">
        <v>2</v>
      </c>
      <c r="D350" t="s">
        <v>511</v>
      </c>
      <c r="E350" t="s">
        <v>11</v>
      </c>
      <c r="F350" t="str">
        <f>IF(Cleanedtable[[#This Row],[Age]]&lt;18,"TEEN",IF(Cleanedtable[[#This Row],[Age]]&lt;30,"YOUTH",IF(Cleanedtable[[#This Row],[Age]]&lt;=59,"ADULT",IF(Cleanedtable[[#This Row],[Age]]&gt;=60,"ELDER"))))</f>
        <v>YOUTH</v>
      </c>
      <c r="G350">
        <v>24</v>
      </c>
      <c r="H350">
        <v>0</v>
      </c>
      <c r="I350">
        <v>0</v>
      </c>
      <c r="J350" t="s">
        <v>894</v>
      </c>
      <c r="K350">
        <v>13.5</v>
      </c>
      <c r="M350" t="s">
        <v>15</v>
      </c>
      <c r="N350" t="str">
        <f>IF(Cleanedtable[[#This Row],[Age]]&lt;18, "YES","NO")</f>
        <v>NO</v>
      </c>
      <c r="O350" t="str">
        <f>IF(Cleanedtable[[#This Row],[SIBLINGS/SPOUSES]]&gt;0,"YES","NO")</f>
        <v>NO</v>
      </c>
      <c r="P350" t="str">
        <f>IF(Cleanedtable[[#This Row],[Parch]]&gt;0,"YES","NO")</f>
        <v>NO</v>
      </c>
    </row>
    <row r="351" spans="1:16" x14ac:dyDescent="0.35">
      <c r="A351">
        <v>1241</v>
      </c>
      <c r="B351">
        <v>1</v>
      </c>
      <c r="C351">
        <v>2</v>
      </c>
      <c r="D351" t="s">
        <v>512</v>
      </c>
      <c r="E351" t="s">
        <v>14</v>
      </c>
      <c r="F351" t="str">
        <f>IF(Cleanedtable[[#This Row],[Age]]&lt;18,"TEEN",IF(Cleanedtable[[#This Row],[Age]]&lt;30,"YOUTH",IF(Cleanedtable[[#This Row],[Age]]&lt;=59,"ADULT",IF(Cleanedtable[[#This Row],[Age]]&gt;=60,"ELDER"))))</f>
        <v>ADULT</v>
      </c>
      <c r="G351">
        <v>31</v>
      </c>
      <c r="H351">
        <v>0</v>
      </c>
      <c r="I351">
        <v>0</v>
      </c>
      <c r="J351" t="s">
        <v>513</v>
      </c>
      <c r="K351">
        <v>21</v>
      </c>
      <c r="M351" t="s">
        <v>15</v>
      </c>
      <c r="N351" t="str">
        <f>IF(Cleanedtable[[#This Row],[Age]]&lt;18, "YES","NO")</f>
        <v>NO</v>
      </c>
      <c r="O351" t="str">
        <f>IF(Cleanedtable[[#This Row],[SIBLINGS/SPOUSES]]&gt;0,"YES","NO")</f>
        <v>NO</v>
      </c>
      <c r="P351" t="str">
        <f>IF(Cleanedtable[[#This Row],[Parch]]&gt;0,"YES","NO")</f>
        <v>NO</v>
      </c>
    </row>
    <row r="352" spans="1:16" x14ac:dyDescent="0.35">
      <c r="A352">
        <v>1242</v>
      </c>
      <c r="B352">
        <v>1</v>
      </c>
      <c r="C352">
        <v>1</v>
      </c>
      <c r="D352" t="s">
        <v>514</v>
      </c>
      <c r="E352" t="s">
        <v>14</v>
      </c>
      <c r="F352" t="str">
        <f>IF(Cleanedtable[[#This Row],[Age]]&lt;18,"TEEN",IF(Cleanedtable[[#This Row],[Age]]&lt;30,"YOUTH",IF(Cleanedtable[[#This Row],[Age]]&lt;=59,"ADULT",IF(Cleanedtable[[#This Row],[Age]]&gt;=60,"ELDER"))))</f>
        <v>ADULT</v>
      </c>
      <c r="G352">
        <v>45</v>
      </c>
      <c r="H352">
        <v>0</v>
      </c>
      <c r="I352">
        <v>1</v>
      </c>
      <c r="J352" t="s">
        <v>895</v>
      </c>
      <c r="K352">
        <v>63.3583</v>
      </c>
      <c r="L352" t="s">
        <v>516</v>
      </c>
      <c r="M352" t="s">
        <v>23</v>
      </c>
      <c r="N352" t="str">
        <f>IF(Cleanedtable[[#This Row],[Age]]&lt;18, "YES","NO")</f>
        <v>NO</v>
      </c>
      <c r="O352" t="str">
        <f>IF(Cleanedtable[[#This Row],[SIBLINGS/SPOUSES]]&gt;0,"YES","NO")</f>
        <v>NO</v>
      </c>
      <c r="P352" t="str">
        <f>IF(Cleanedtable[[#This Row],[Parch]]&gt;0,"YES","NO")</f>
        <v>YES</v>
      </c>
    </row>
    <row r="353" spans="1:16" x14ac:dyDescent="0.35">
      <c r="A353">
        <v>1243</v>
      </c>
      <c r="B353">
        <v>0</v>
      </c>
      <c r="C353">
        <v>2</v>
      </c>
      <c r="D353" t="s">
        <v>517</v>
      </c>
      <c r="E353" t="s">
        <v>11</v>
      </c>
      <c r="F353" t="str">
        <f>IF(Cleanedtable[[#This Row],[Age]]&lt;18,"TEEN",IF(Cleanedtable[[#This Row],[Age]]&lt;30,"YOUTH",IF(Cleanedtable[[#This Row],[Age]]&lt;=59,"ADULT",IF(Cleanedtable[[#This Row],[Age]]&gt;=60,"ELDER"))))</f>
        <v>YOUTH</v>
      </c>
      <c r="G353">
        <v>25</v>
      </c>
      <c r="H353">
        <v>0</v>
      </c>
      <c r="I353">
        <v>0</v>
      </c>
      <c r="J353" t="s">
        <v>518</v>
      </c>
      <c r="K353">
        <v>10.5</v>
      </c>
      <c r="M353" t="s">
        <v>15</v>
      </c>
      <c r="N353" t="str">
        <f>IF(Cleanedtable[[#This Row],[Age]]&lt;18, "YES","NO")</f>
        <v>NO</v>
      </c>
      <c r="O353" t="str">
        <f>IF(Cleanedtable[[#This Row],[SIBLINGS/SPOUSES]]&gt;0,"YES","NO")</f>
        <v>NO</v>
      </c>
      <c r="P353" t="str">
        <f>IF(Cleanedtable[[#This Row],[Parch]]&gt;0,"YES","NO")</f>
        <v>NO</v>
      </c>
    </row>
    <row r="354" spans="1:16" x14ac:dyDescent="0.35">
      <c r="A354">
        <v>1244</v>
      </c>
      <c r="B354">
        <v>0</v>
      </c>
      <c r="C354">
        <v>2</v>
      </c>
      <c r="D354" t="s">
        <v>519</v>
      </c>
      <c r="E354" t="s">
        <v>11</v>
      </c>
      <c r="F354" t="str">
        <f>IF(Cleanedtable[[#This Row],[Age]]&lt;18,"TEEN",IF(Cleanedtable[[#This Row],[Age]]&lt;30,"YOUTH",IF(Cleanedtable[[#This Row],[Age]]&lt;=59,"ADULT",IF(Cleanedtable[[#This Row],[Age]]&gt;=60,"ELDER"))))</f>
        <v>YOUTH</v>
      </c>
      <c r="G354">
        <v>18</v>
      </c>
      <c r="H354">
        <v>0</v>
      </c>
      <c r="I354">
        <v>0</v>
      </c>
      <c r="J354" t="s">
        <v>324</v>
      </c>
      <c r="K354">
        <v>73.5</v>
      </c>
      <c r="M354" t="s">
        <v>15</v>
      </c>
      <c r="N354" t="str">
        <f>IF(Cleanedtable[[#This Row],[Age]]&lt;18, "YES","NO")</f>
        <v>NO</v>
      </c>
      <c r="O354" t="str">
        <f>IF(Cleanedtable[[#This Row],[SIBLINGS/SPOUSES]]&gt;0,"YES","NO")</f>
        <v>NO</v>
      </c>
      <c r="P354" t="str">
        <f>IF(Cleanedtable[[#This Row],[Parch]]&gt;0,"YES","NO")</f>
        <v>NO</v>
      </c>
    </row>
    <row r="355" spans="1:16" x14ac:dyDescent="0.35">
      <c r="A355">
        <v>1245</v>
      </c>
      <c r="B355">
        <v>0</v>
      </c>
      <c r="C355">
        <v>2</v>
      </c>
      <c r="D355" t="s">
        <v>520</v>
      </c>
      <c r="E355" t="s">
        <v>11</v>
      </c>
      <c r="F355" t="str">
        <f>IF(Cleanedtable[[#This Row],[Age]]&lt;18,"TEEN",IF(Cleanedtable[[#This Row],[Age]]&lt;30,"YOUTH",IF(Cleanedtable[[#This Row],[Age]]&lt;=59,"ADULT",IF(Cleanedtable[[#This Row],[Age]]&gt;=60,"ELDER"))))</f>
        <v>ADULT</v>
      </c>
      <c r="G355">
        <v>49</v>
      </c>
      <c r="H355">
        <v>1</v>
      </c>
      <c r="I355">
        <v>2</v>
      </c>
      <c r="J355" t="s">
        <v>806</v>
      </c>
      <c r="K355">
        <v>65</v>
      </c>
      <c r="M355" t="s">
        <v>15</v>
      </c>
      <c r="N355" t="str">
        <f>IF(Cleanedtable[[#This Row],[Age]]&lt;18, "YES","NO")</f>
        <v>NO</v>
      </c>
      <c r="O355" t="str">
        <f>IF(Cleanedtable[[#This Row],[SIBLINGS/SPOUSES]]&gt;0,"YES","NO")</f>
        <v>YES</v>
      </c>
      <c r="P355" t="str">
        <f>IF(Cleanedtable[[#This Row],[Parch]]&gt;0,"YES","NO")</f>
        <v>YES</v>
      </c>
    </row>
    <row r="356" spans="1:16" x14ac:dyDescent="0.35">
      <c r="A356">
        <v>1246</v>
      </c>
      <c r="B356">
        <v>1</v>
      </c>
      <c r="C356">
        <v>3</v>
      </c>
      <c r="D356" t="s">
        <v>521</v>
      </c>
      <c r="E356" t="s">
        <v>14</v>
      </c>
      <c r="F356" t="str">
        <f>IF(Cleanedtable[[#This Row],[Age]]&lt;18,"TEEN",IF(Cleanedtable[[#This Row],[Age]]&lt;30,"YOUTH",IF(Cleanedtable[[#This Row],[Age]]&lt;=59,"ADULT",IF(Cleanedtable[[#This Row],[Age]]&gt;=60,"ELDER"))))</f>
        <v>TEEN</v>
      </c>
      <c r="G356">
        <v>0.17</v>
      </c>
      <c r="H356">
        <v>1</v>
      </c>
      <c r="I356">
        <v>2</v>
      </c>
      <c r="J356" t="s">
        <v>65</v>
      </c>
      <c r="K356">
        <v>20.574999999999999</v>
      </c>
      <c r="M356" t="s">
        <v>15</v>
      </c>
      <c r="N356" t="str">
        <f>IF(Cleanedtable[[#This Row],[Age]]&lt;18, "YES","NO")</f>
        <v>YES</v>
      </c>
      <c r="O356" t="str">
        <f>IF(Cleanedtable[[#This Row],[SIBLINGS/SPOUSES]]&gt;0,"YES","NO")</f>
        <v>YES</v>
      </c>
      <c r="P356" t="str">
        <f>IF(Cleanedtable[[#This Row],[Parch]]&gt;0,"YES","NO")</f>
        <v>YES</v>
      </c>
    </row>
    <row r="357" spans="1:16" x14ac:dyDescent="0.35">
      <c r="A357">
        <v>1247</v>
      </c>
      <c r="B357">
        <v>0</v>
      </c>
      <c r="C357">
        <v>1</v>
      </c>
      <c r="D357" t="s">
        <v>522</v>
      </c>
      <c r="E357" t="s">
        <v>11</v>
      </c>
      <c r="F357" t="str">
        <f>IF(Cleanedtable[[#This Row],[Age]]&lt;18,"TEEN",IF(Cleanedtable[[#This Row],[Age]]&lt;30,"YOUTH",IF(Cleanedtable[[#This Row],[Age]]&lt;=59,"ADULT",IF(Cleanedtable[[#This Row],[Age]]&gt;=60,"ELDER"))))</f>
        <v>ADULT</v>
      </c>
      <c r="G357">
        <v>50</v>
      </c>
      <c r="H357">
        <v>0</v>
      </c>
      <c r="I357">
        <v>0</v>
      </c>
      <c r="J357" t="s">
        <v>896</v>
      </c>
      <c r="K357">
        <v>26</v>
      </c>
      <c r="L357" t="s">
        <v>523</v>
      </c>
      <c r="M357" t="s">
        <v>15</v>
      </c>
      <c r="N357" t="str">
        <f>IF(Cleanedtable[[#This Row],[Age]]&lt;18, "YES","NO")</f>
        <v>NO</v>
      </c>
      <c r="O357" t="str">
        <f>IF(Cleanedtable[[#This Row],[SIBLINGS/SPOUSES]]&gt;0,"YES","NO")</f>
        <v>NO</v>
      </c>
      <c r="P357" t="str">
        <f>IF(Cleanedtable[[#This Row],[Parch]]&gt;0,"YES","NO")</f>
        <v>NO</v>
      </c>
    </row>
    <row r="358" spans="1:16" x14ac:dyDescent="0.35">
      <c r="A358">
        <v>1248</v>
      </c>
      <c r="B358">
        <v>1</v>
      </c>
      <c r="C358">
        <v>1</v>
      </c>
      <c r="D358" t="s">
        <v>524</v>
      </c>
      <c r="E358" t="s">
        <v>14</v>
      </c>
      <c r="F358" t="str">
        <f>IF(Cleanedtable[[#This Row],[Age]]&lt;18,"TEEN",IF(Cleanedtable[[#This Row],[Age]]&lt;30,"YOUTH",IF(Cleanedtable[[#This Row],[Age]]&lt;=59,"ADULT",IF(Cleanedtable[[#This Row],[Age]]&gt;=60,"ELDER"))))</f>
        <v>ADULT</v>
      </c>
      <c r="G358">
        <v>59</v>
      </c>
      <c r="H358">
        <v>2</v>
      </c>
      <c r="I358">
        <v>0</v>
      </c>
      <c r="J358" t="s">
        <v>897</v>
      </c>
      <c r="K358">
        <v>51.479199999999999</v>
      </c>
      <c r="L358" t="s">
        <v>133</v>
      </c>
      <c r="M358" t="s">
        <v>15</v>
      </c>
      <c r="N358" t="str">
        <f>IF(Cleanedtable[[#This Row],[Age]]&lt;18, "YES","NO")</f>
        <v>NO</v>
      </c>
      <c r="O358" t="str">
        <f>IF(Cleanedtable[[#This Row],[SIBLINGS/SPOUSES]]&gt;0,"YES","NO")</f>
        <v>YES</v>
      </c>
      <c r="P358" t="str">
        <f>IF(Cleanedtable[[#This Row],[Parch]]&gt;0,"YES","NO")</f>
        <v>NO</v>
      </c>
    </row>
    <row r="359" spans="1:16" x14ac:dyDescent="0.35">
      <c r="A359">
        <v>1249</v>
      </c>
      <c r="B359">
        <v>0</v>
      </c>
      <c r="C359">
        <v>3</v>
      </c>
      <c r="D359" t="s">
        <v>525</v>
      </c>
      <c r="E359" t="s">
        <v>11</v>
      </c>
      <c r="F359" t="str">
        <f>IF(Cleanedtable[[#This Row],[Age]]&lt;18,"TEEN",IF(Cleanedtable[[#This Row],[Age]]&lt;30,"YOUTH",IF(Cleanedtable[[#This Row],[Age]]&lt;=59,"ADULT",IF(Cleanedtable[[#This Row],[Age]]&gt;=60,"ELDER"))))</f>
        <v>ADULT</v>
      </c>
      <c r="G359">
        <v>30.2</v>
      </c>
      <c r="H359">
        <v>0</v>
      </c>
      <c r="I359">
        <v>0</v>
      </c>
      <c r="J359" t="s">
        <v>898</v>
      </c>
      <c r="K359">
        <v>7.8792</v>
      </c>
      <c r="M359" t="s">
        <v>15</v>
      </c>
      <c r="N359" t="str">
        <f>IF(Cleanedtable[[#This Row],[Age]]&lt;18, "YES","NO")</f>
        <v>NO</v>
      </c>
      <c r="O359" t="str">
        <f>IF(Cleanedtable[[#This Row],[SIBLINGS/SPOUSES]]&gt;0,"YES","NO")</f>
        <v>NO</v>
      </c>
      <c r="P359" t="str">
        <f>IF(Cleanedtable[[#This Row],[Parch]]&gt;0,"YES","NO")</f>
        <v>NO</v>
      </c>
    </row>
    <row r="360" spans="1:16" x14ac:dyDescent="0.35">
      <c r="A360">
        <v>1250</v>
      </c>
      <c r="B360">
        <v>0</v>
      </c>
      <c r="C360">
        <v>3</v>
      </c>
      <c r="D360" t="s">
        <v>526</v>
      </c>
      <c r="E360" t="s">
        <v>11</v>
      </c>
      <c r="F360" t="str">
        <f>IF(Cleanedtable[[#This Row],[Age]]&lt;18,"TEEN",IF(Cleanedtable[[#This Row],[Age]]&lt;30,"YOUTH",IF(Cleanedtable[[#This Row],[Age]]&lt;=59,"ADULT",IF(Cleanedtable[[#This Row],[Age]]&gt;=60,"ELDER"))))</f>
        <v>ADULT</v>
      </c>
      <c r="G360">
        <v>30.2</v>
      </c>
      <c r="H360">
        <v>0</v>
      </c>
      <c r="I360">
        <v>0</v>
      </c>
      <c r="J360" t="s">
        <v>899</v>
      </c>
      <c r="K360">
        <v>7.75</v>
      </c>
      <c r="M360" t="s">
        <v>12</v>
      </c>
      <c r="N360" t="str">
        <f>IF(Cleanedtable[[#This Row],[Age]]&lt;18, "YES","NO")</f>
        <v>NO</v>
      </c>
      <c r="O360" t="str">
        <f>IF(Cleanedtable[[#This Row],[SIBLINGS/SPOUSES]]&gt;0,"YES","NO")</f>
        <v>NO</v>
      </c>
      <c r="P360" t="str">
        <f>IF(Cleanedtable[[#This Row],[Parch]]&gt;0,"YES","NO")</f>
        <v>NO</v>
      </c>
    </row>
    <row r="361" spans="1:16" x14ac:dyDescent="0.35">
      <c r="A361">
        <v>1251</v>
      </c>
      <c r="B361">
        <v>1</v>
      </c>
      <c r="C361">
        <v>3</v>
      </c>
      <c r="D361" t="s">
        <v>527</v>
      </c>
      <c r="E361" t="s">
        <v>14</v>
      </c>
      <c r="F361" t="str">
        <f>IF(Cleanedtable[[#This Row],[Age]]&lt;18,"TEEN",IF(Cleanedtable[[#This Row],[Age]]&lt;30,"YOUTH",IF(Cleanedtable[[#This Row],[Age]]&lt;=59,"ADULT",IF(Cleanedtable[[#This Row],[Age]]&gt;=60,"ELDER"))))</f>
        <v>ADULT</v>
      </c>
      <c r="G361">
        <v>30</v>
      </c>
      <c r="H361">
        <v>1</v>
      </c>
      <c r="I361">
        <v>0</v>
      </c>
      <c r="J361" t="s">
        <v>900</v>
      </c>
      <c r="K361">
        <v>15.55</v>
      </c>
      <c r="M361" t="s">
        <v>15</v>
      </c>
      <c r="N361" t="str">
        <f>IF(Cleanedtable[[#This Row],[Age]]&lt;18, "YES","NO")</f>
        <v>NO</v>
      </c>
      <c r="O361" t="str">
        <f>IF(Cleanedtable[[#This Row],[SIBLINGS/SPOUSES]]&gt;0,"YES","NO")</f>
        <v>YES</v>
      </c>
      <c r="P361" t="str">
        <f>IF(Cleanedtable[[#This Row],[Parch]]&gt;0,"YES","NO")</f>
        <v>NO</v>
      </c>
    </row>
    <row r="362" spans="1:16" x14ac:dyDescent="0.35">
      <c r="A362">
        <v>1252</v>
      </c>
      <c r="B362">
        <v>0</v>
      </c>
      <c r="C362">
        <v>3</v>
      </c>
      <c r="D362" t="s">
        <v>528</v>
      </c>
      <c r="E362" t="s">
        <v>11</v>
      </c>
      <c r="F362" t="str">
        <f>IF(Cleanedtable[[#This Row],[Age]]&lt;18,"TEEN",IF(Cleanedtable[[#This Row],[Age]]&lt;30,"YOUTH",IF(Cleanedtable[[#This Row],[Age]]&lt;=59,"ADULT",IF(Cleanedtable[[#This Row],[Age]]&gt;=60,"ELDER"))))</f>
        <v>TEEN</v>
      </c>
      <c r="G362">
        <v>14.5</v>
      </c>
      <c r="H362">
        <v>8</v>
      </c>
      <c r="I362">
        <v>2</v>
      </c>
      <c r="J362" t="s">
        <v>774</v>
      </c>
      <c r="K362">
        <v>69.55</v>
      </c>
      <c r="M362" t="s">
        <v>15</v>
      </c>
      <c r="N362" t="str">
        <f>IF(Cleanedtable[[#This Row],[Age]]&lt;18, "YES","NO")</f>
        <v>YES</v>
      </c>
      <c r="O362" t="str">
        <f>IF(Cleanedtable[[#This Row],[SIBLINGS/SPOUSES]]&gt;0,"YES","NO")</f>
        <v>YES</v>
      </c>
      <c r="P362" t="str">
        <f>IF(Cleanedtable[[#This Row],[Parch]]&gt;0,"YES","NO")</f>
        <v>YES</v>
      </c>
    </row>
    <row r="363" spans="1:16" x14ac:dyDescent="0.35">
      <c r="A363">
        <v>1253</v>
      </c>
      <c r="B363">
        <v>1</v>
      </c>
      <c r="C363">
        <v>2</v>
      </c>
      <c r="D363" t="s">
        <v>529</v>
      </c>
      <c r="E363" t="s">
        <v>14</v>
      </c>
      <c r="F363" t="str">
        <f>IF(Cleanedtable[[#This Row],[Age]]&lt;18,"TEEN",IF(Cleanedtable[[#This Row],[Age]]&lt;30,"YOUTH",IF(Cleanedtable[[#This Row],[Age]]&lt;=59,"ADULT",IF(Cleanedtable[[#This Row],[Age]]&gt;=60,"ELDER"))))</f>
        <v>YOUTH</v>
      </c>
      <c r="G363">
        <v>24</v>
      </c>
      <c r="H363">
        <v>1</v>
      </c>
      <c r="I363">
        <v>1</v>
      </c>
      <c r="J363" t="s">
        <v>901</v>
      </c>
      <c r="K363">
        <v>37.004199999999997</v>
      </c>
      <c r="M363" t="s">
        <v>23</v>
      </c>
      <c r="N363" t="str">
        <f>IF(Cleanedtable[[#This Row],[Age]]&lt;18, "YES","NO")</f>
        <v>NO</v>
      </c>
      <c r="O363" t="str">
        <f>IF(Cleanedtable[[#This Row],[SIBLINGS/SPOUSES]]&gt;0,"YES","NO")</f>
        <v>YES</v>
      </c>
      <c r="P363" t="str">
        <f>IF(Cleanedtable[[#This Row],[Parch]]&gt;0,"YES","NO")</f>
        <v>YES</v>
      </c>
    </row>
    <row r="364" spans="1:16" x14ac:dyDescent="0.35">
      <c r="A364">
        <v>1254</v>
      </c>
      <c r="B364">
        <v>1</v>
      </c>
      <c r="C364">
        <v>2</v>
      </c>
      <c r="D364" t="s">
        <v>531</v>
      </c>
      <c r="E364" t="s">
        <v>14</v>
      </c>
      <c r="F364" t="str">
        <f>IF(Cleanedtable[[#This Row],[Age]]&lt;18,"TEEN",IF(Cleanedtable[[#This Row],[Age]]&lt;30,"YOUTH",IF(Cleanedtable[[#This Row],[Age]]&lt;=59,"ADULT",IF(Cleanedtable[[#This Row],[Age]]&gt;=60,"ELDER"))))</f>
        <v>ADULT</v>
      </c>
      <c r="G364">
        <v>31</v>
      </c>
      <c r="H364">
        <v>0</v>
      </c>
      <c r="I364">
        <v>0</v>
      </c>
      <c r="J364" t="s">
        <v>840</v>
      </c>
      <c r="K364">
        <v>21</v>
      </c>
      <c r="M364" t="s">
        <v>15</v>
      </c>
      <c r="N364" t="str">
        <f>IF(Cleanedtable[[#This Row],[Age]]&lt;18, "YES","NO")</f>
        <v>NO</v>
      </c>
      <c r="O364" t="str">
        <f>IF(Cleanedtable[[#This Row],[SIBLINGS/SPOUSES]]&gt;0,"YES","NO")</f>
        <v>NO</v>
      </c>
      <c r="P364" t="str">
        <f>IF(Cleanedtable[[#This Row],[Parch]]&gt;0,"YES","NO")</f>
        <v>NO</v>
      </c>
    </row>
    <row r="365" spans="1:16" x14ac:dyDescent="0.35">
      <c r="A365">
        <v>1255</v>
      </c>
      <c r="B365">
        <v>0</v>
      </c>
      <c r="C365">
        <v>3</v>
      </c>
      <c r="D365" t="s">
        <v>532</v>
      </c>
      <c r="E365" t="s">
        <v>11</v>
      </c>
      <c r="F365" t="str">
        <f>IF(Cleanedtable[[#This Row],[Age]]&lt;18,"TEEN",IF(Cleanedtable[[#This Row],[Age]]&lt;30,"YOUTH",IF(Cleanedtable[[#This Row],[Age]]&lt;=59,"ADULT",IF(Cleanedtable[[#This Row],[Age]]&gt;=60,"ELDER"))))</f>
        <v>YOUTH</v>
      </c>
      <c r="G365">
        <v>27</v>
      </c>
      <c r="H365">
        <v>0</v>
      </c>
      <c r="I365">
        <v>0</v>
      </c>
      <c r="J365" t="s">
        <v>902</v>
      </c>
      <c r="K365">
        <v>8.6624999999999996</v>
      </c>
      <c r="M365" t="s">
        <v>15</v>
      </c>
      <c r="N365" t="str">
        <f>IF(Cleanedtable[[#This Row],[Age]]&lt;18, "YES","NO")</f>
        <v>NO</v>
      </c>
      <c r="O365" t="str">
        <f>IF(Cleanedtable[[#This Row],[SIBLINGS/SPOUSES]]&gt;0,"YES","NO")</f>
        <v>NO</v>
      </c>
      <c r="P365" t="str">
        <f>IF(Cleanedtable[[#This Row],[Parch]]&gt;0,"YES","NO")</f>
        <v>NO</v>
      </c>
    </row>
    <row r="366" spans="1:16" x14ac:dyDescent="0.35">
      <c r="A366">
        <v>1256</v>
      </c>
      <c r="B366">
        <v>1</v>
      </c>
      <c r="C366">
        <v>1</v>
      </c>
      <c r="D366" t="s">
        <v>533</v>
      </c>
      <c r="E366" t="s">
        <v>14</v>
      </c>
      <c r="F366" t="str">
        <f>IF(Cleanedtable[[#This Row],[Age]]&lt;18,"TEEN",IF(Cleanedtable[[#This Row],[Age]]&lt;30,"YOUTH",IF(Cleanedtable[[#This Row],[Age]]&lt;=59,"ADULT",IF(Cleanedtable[[#This Row],[Age]]&gt;=60,"ELDER"))))</f>
        <v>YOUTH</v>
      </c>
      <c r="G366">
        <v>25</v>
      </c>
      <c r="H366">
        <v>1</v>
      </c>
      <c r="I366">
        <v>0</v>
      </c>
      <c r="J366" t="s">
        <v>903</v>
      </c>
      <c r="K366">
        <v>55.441699999999997</v>
      </c>
      <c r="L366" t="s">
        <v>534</v>
      </c>
      <c r="M366" t="s">
        <v>23</v>
      </c>
      <c r="N366" t="str">
        <f>IF(Cleanedtable[[#This Row],[Age]]&lt;18, "YES","NO")</f>
        <v>NO</v>
      </c>
      <c r="O366" t="str">
        <f>IF(Cleanedtable[[#This Row],[SIBLINGS/SPOUSES]]&gt;0,"YES","NO")</f>
        <v>YES</v>
      </c>
      <c r="P366" t="str">
        <f>IF(Cleanedtable[[#This Row],[Parch]]&gt;0,"YES","NO")</f>
        <v>NO</v>
      </c>
    </row>
    <row r="367" spans="1:16" x14ac:dyDescent="0.35">
      <c r="A367">
        <v>1257</v>
      </c>
      <c r="B367">
        <v>1</v>
      </c>
      <c r="C367">
        <v>3</v>
      </c>
      <c r="D367" t="s">
        <v>535</v>
      </c>
      <c r="E367" t="s">
        <v>14</v>
      </c>
      <c r="F367" t="str">
        <f>IF(Cleanedtable[[#This Row],[Age]]&lt;18,"TEEN",IF(Cleanedtable[[#This Row],[Age]]&lt;30,"YOUTH",IF(Cleanedtable[[#This Row],[Age]]&lt;=59,"ADULT",IF(Cleanedtable[[#This Row],[Age]]&gt;=60,"ELDER"))))</f>
        <v>ADULT</v>
      </c>
      <c r="G367">
        <v>30.2</v>
      </c>
      <c r="H367">
        <v>1</v>
      </c>
      <c r="I367">
        <v>9</v>
      </c>
      <c r="J367" t="s">
        <v>774</v>
      </c>
      <c r="K367">
        <v>69.55</v>
      </c>
      <c r="M367" t="s">
        <v>15</v>
      </c>
      <c r="N367" t="str">
        <f>IF(Cleanedtable[[#This Row],[Age]]&lt;18, "YES","NO")</f>
        <v>NO</v>
      </c>
      <c r="O367" t="str">
        <f>IF(Cleanedtable[[#This Row],[SIBLINGS/SPOUSES]]&gt;0,"YES","NO")</f>
        <v>YES</v>
      </c>
      <c r="P367" t="str">
        <f>IF(Cleanedtable[[#This Row],[Parch]]&gt;0,"YES","NO")</f>
        <v>YES</v>
      </c>
    </row>
    <row r="368" spans="1:16" x14ac:dyDescent="0.35">
      <c r="A368">
        <v>1258</v>
      </c>
      <c r="B368">
        <v>0</v>
      </c>
      <c r="C368">
        <v>3</v>
      </c>
      <c r="D368" t="s">
        <v>536</v>
      </c>
      <c r="E368" t="s">
        <v>11</v>
      </c>
      <c r="F368" t="str">
        <f>IF(Cleanedtable[[#This Row],[Age]]&lt;18,"TEEN",IF(Cleanedtable[[#This Row],[Age]]&lt;30,"YOUTH",IF(Cleanedtable[[#This Row],[Age]]&lt;=59,"ADULT",IF(Cleanedtable[[#This Row],[Age]]&gt;=60,"ELDER"))))</f>
        <v>ADULT</v>
      </c>
      <c r="G368">
        <v>30.2</v>
      </c>
      <c r="H368">
        <v>1</v>
      </c>
      <c r="I368">
        <v>0</v>
      </c>
      <c r="J368" t="s">
        <v>904</v>
      </c>
      <c r="K368">
        <v>14.458299999999999</v>
      </c>
      <c r="M368" t="s">
        <v>23</v>
      </c>
      <c r="N368" t="str">
        <f>IF(Cleanedtable[[#This Row],[Age]]&lt;18, "YES","NO")</f>
        <v>NO</v>
      </c>
      <c r="O368" t="str">
        <f>IF(Cleanedtable[[#This Row],[SIBLINGS/SPOUSES]]&gt;0,"YES","NO")</f>
        <v>YES</v>
      </c>
      <c r="P368" t="str">
        <f>IF(Cleanedtable[[#This Row],[Parch]]&gt;0,"YES","NO")</f>
        <v>NO</v>
      </c>
    </row>
    <row r="369" spans="1:16" x14ac:dyDescent="0.35">
      <c r="A369">
        <v>1259</v>
      </c>
      <c r="B369">
        <v>1</v>
      </c>
      <c r="C369">
        <v>3</v>
      </c>
      <c r="D369" t="s">
        <v>537</v>
      </c>
      <c r="E369" t="s">
        <v>14</v>
      </c>
      <c r="F369" t="str">
        <f>IF(Cleanedtable[[#This Row],[Age]]&lt;18,"TEEN",IF(Cleanedtable[[#This Row],[Age]]&lt;30,"YOUTH",IF(Cleanedtable[[#This Row],[Age]]&lt;=59,"ADULT",IF(Cleanedtable[[#This Row],[Age]]&gt;=60,"ELDER"))))</f>
        <v>YOUTH</v>
      </c>
      <c r="G369">
        <v>22</v>
      </c>
      <c r="H369">
        <v>0</v>
      </c>
      <c r="I369">
        <v>0</v>
      </c>
      <c r="J369" t="s">
        <v>905</v>
      </c>
      <c r="K369">
        <v>39.6875</v>
      </c>
      <c r="M369" t="s">
        <v>15</v>
      </c>
      <c r="N369" t="str">
        <f>IF(Cleanedtable[[#This Row],[Age]]&lt;18, "YES","NO")</f>
        <v>NO</v>
      </c>
      <c r="O369" t="str">
        <f>IF(Cleanedtable[[#This Row],[SIBLINGS/SPOUSES]]&gt;0,"YES","NO")</f>
        <v>NO</v>
      </c>
      <c r="P369" t="str">
        <f>IF(Cleanedtable[[#This Row],[Parch]]&gt;0,"YES","NO")</f>
        <v>NO</v>
      </c>
    </row>
    <row r="370" spans="1:16" x14ac:dyDescent="0.35">
      <c r="A370">
        <v>1260</v>
      </c>
      <c r="B370">
        <v>1</v>
      </c>
      <c r="C370">
        <v>1</v>
      </c>
      <c r="D370" t="s">
        <v>538</v>
      </c>
      <c r="E370" t="s">
        <v>14</v>
      </c>
      <c r="F370" t="str">
        <f>IF(Cleanedtable[[#This Row],[Age]]&lt;18,"TEEN",IF(Cleanedtable[[#This Row],[Age]]&lt;30,"YOUTH",IF(Cleanedtable[[#This Row],[Age]]&lt;=59,"ADULT",IF(Cleanedtable[[#This Row],[Age]]&gt;=60,"ELDER"))))</f>
        <v>ADULT</v>
      </c>
      <c r="G370">
        <v>45</v>
      </c>
      <c r="H370">
        <v>0</v>
      </c>
      <c r="I370">
        <v>1</v>
      </c>
      <c r="J370" t="s">
        <v>906</v>
      </c>
      <c r="K370">
        <v>59.4</v>
      </c>
      <c r="M370" t="s">
        <v>23</v>
      </c>
      <c r="N370" t="str">
        <f>IF(Cleanedtable[[#This Row],[Age]]&lt;18, "YES","NO")</f>
        <v>NO</v>
      </c>
      <c r="O370" t="str">
        <f>IF(Cleanedtable[[#This Row],[SIBLINGS/SPOUSES]]&gt;0,"YES","NO")</f>
        <v>NO</v>
      </c>
      <c r="P370" t="str">
        <f>IF(Cleanedtable[[#This Row],[Parch]]&gt;0,"YES","NO")</f>
        <v>YES</v>
      </c>
    </row>
    <row r="371" spans="1:16" x14ac:dyDescent="0.35">
      <c r="A371">
        <v>1261</v>
      </c>
      <c r="B371">
        <v>0</v>
      </c>
      <c r="C371">
        <v>2</v>
      </c>
      <c r="D371" t="s">
        <v>539</v>
      </c>
      <c r="E371" t="s">
        <v>11</v>
      </c>
      <c r="F371" t="str">
        <f>IF(Cleanedtable[[#This Row],[Age]]&lt;18,"TEEN",IF(Cleanedtable[[#This Row],[Age]]&lt;30,"YOUTH",IF(Cleanedtable[[#This Row],[Age]]&lt;=59,"ADULT",IF(Cleanedtable[[#This Row],[Age]]&gt;=60,"ELDER"))))</f>
        <v>YOUTH</v>
      </c>
      <c r="G371">
        <v>29</v>
      </c>
      <c r="H371">
        <v>0</v>
      </c>
      <c r="I371">
        <v>0</v>
      </c>
      <c r="J371" t="s">
        <v>907</v>
      </c>
      <c r="K371">
        <v>13.8583</v>
      </c>
      <c r="M371" t="s">
        <v>23</v>
      </c>
      <c r="N371" t="str">
        <f>IF(Cleanedtable[[#This Row],[Age]]&lt;18, "YES","NO")</f>
        <v>NO</v>
      </c>
      <c r="O371" t="str">
        <f>IF(Cleanedtable[[#This Row],[SIBLINGS/SPOUSES]]&gt;0,"YES","NO")</f>
        <v>NO</v>
      </c>
      <c r="P371" t="str">
        <f>IF(Cleanedtable[[#This Row],[Parch]]&gt;0,"YES","NO")</f>
        <v>NO</v>
      </c>
    </row>
    <row r="372" spans="1:16" x14ac:dyDescent="0.35">
      <c r="A372">
        <v>1262</v>
      </c>
      <c r="B372">
        <v>0</v>
      </c>
      <c r="C372">
        <v>2</v>
      </c>
      <c r="D372" t="s">
        <v>541</v>
      </c>
      <c r="E372" t="s">
        <v>11</v>
      </c>
      <c r="F372" t="str">
        <f>IF(Cleanedtable[[#This Row],[Age]]&lt;18,"TEEN",IF(Cleanedtable[[#This Row],[Age]]&lt;30,"YOUTH",IF(Cleanedtable[[#This Row],[Age]]&lt;=59,"ADULT",IF(Cleanedtable[[#This Row],[Age]]&gt;=60,"ELDER"))))</f>
        <v>YOUTH</v>
      </c>
      <c r="G372">
        <v>21</v>
      </c>
      <c r="H372">
        <v>1</v>
      </c>
      <c r="I372">
        <v>0</v>
      </c>
      <c r="J372" t="s">
        <v>908</v>
      </c>
      <c r="K372">
        <v>11.5</v>
      </c>
      <c r="M372" t="s">
        <v>15</v>
      </c>
      <c r="N372" t="str">
        <f>IF(Cleanedtable[[#This Row],[Age]]&lt;18, "YES","NO")</f>
        <v>NO</v>
      </c>
      <c r="O372" t="str">
        <f>IF(Cleanedtable[[#This Row],[SIBLINGS/SPOUSES]]&gt;0,"YES","NO")</f>
        <v>YES</v>
      </c>
      <c r="P372" t="str">
        <f>IF(Cleanedtable[[#This Row],[Parch]]&gt;0,"YES","NO")</f>
        <v>NO</v>
      </c>
    </row>
    <row r="373" spans="1:16" x14ac:dyDescent="0.35">
      <c r="A373">
        <v>1263</v>
      </c>
      <c r="B373">
        <v>1</v>
      </c>
      <c r="C373">
        <v>1</v>
      </c>
      <c r="D373" t="s">
        <v>542</v>
      </c>
      <c r="E373" t="s">
        <v>14</v>
      </c>
      <c r="F373" t="str">
        <f>IF(Cleanedtable[[#This Row],[Age]]&lt;18,"TEEN",IF(Cleanedtable[[#This Row],[Age]]&lt;30,"YOUTH",IF(Cleanedtable[[#This Row],[Age]]&lt;=59,"ADULT",IF(Cleanedtable[[#This Row],[Age]]&gt;=60,"ELDER"))))</f>
        <v>ADULT</v>
      </c>
      <c r="G373">
        <v>31</v>
      </c>
      <c r="H373">
        <v>0</v>
      </c>
      <c r="I373">
        <v>0</v>
      </c>
      <c r="J373" t="s">
        <v>781</v>
      </c>
      <c r="K373">
        <v>134.5</v>
      </c>
      <c r="L373" t="s">
        <v>543</v>
      </c>
      <c r="M373" t="s">
        <v>23</v>
      </c>
      <c r="N373" t="str">
        <f>IF(Cleanedtable[[#This Row],[Age]]&lt;18, "YES","NO")</f>
        <v>NO</v>
      </c>
      <c r="O373" t="str">
        <f>IF(Cleanedtable[[#This Row],[SIBLINGS/SPOUSES]]&gt;0,"YES","NO")</f>
        <v>NO</v>
      </c>
      <c r="P373" t="str">
        <f>IF(Cleanedtable[[#This Row],[Parch]]&gt;0,"YES","NO")</f>
        <v>NO</v>
      </c>
    </row>
    <row r="374" spans="1:16" x14ac:dyDescent="0.35">
      <c r="A374">
        <v>1264</v>
      </c>
      <c r="B374">
        <v>0</v>
      </c>
      <c r="C374">
        <v>1</v>
      </c>
      <c r="D374" t="s">
        <v>544</v>
      </c>
      <c r="E374" t="s">
        <v>11</v>
      </c>
      <c r="F374" t="str">
        <f>IF(Cleanedtable[[#This Row],[Age]]&lt;18,"TEEN",IF(Cleanedtable[[#This Row],[Age]]&lt;30,"YOUTH",IF(Cleanedtable[[#This Row],[Age]]&lt;=59,"ADULT",IF(Cleanedtable[[#This Row],[Age]]&gt;=60,"ELDER"))))</f>
        <v>ADULT</v>
      </c>
      <c r="G374">
        <v>49</v>
      </c>
      <c r="H374">
        <v>0</v>
      </c>
      <c r="I374">
        <v>0</v>
      </c>
      <c r="J374" t="s">
        <v>909</v>
      </c>
      <c r="K374">
        <v>0</v>
      </c>
      <c r="L374" t="s">
        <v>545</v>
      </c>
      <c r="M374" t="s">
        <v>15</v>
      </c>
      <c r="N374" t="str">
        <f>IF(Cleanedtable[[#This Row],[Age]]&lt;18, "YES","NO")</f>
        <v>NO</v>
      </c>
      <c r="O374" t="str">
        <f>IF(Cleanedtable[[#This Row],[SIBLINGS/SPOUSES]]&gt;0,"YES","NO")</f>
        <v>NO</v>
      </c>
      <c r="P374" t="str">
        <f>IF(Cleanedtable[[#This Row],[Parch]]&gt;0,"YES","NO")</f>
        <v>NO</v>
      </c>
    </row>
    <row r="375" spans="1:16" x14ac:dyDescent="0.35">
      <c r="A375">
        <v>1265</v>
      </c>
      <c r="B375">
        <v>0</v>
      </c>
      <c r="C375">
        <v>2</v>
      </c>
      <c r="D375" t="s">
        <v>546</v>
      </c>
      <c r="E375" t="s">
        <v>11</v>
      </c>
      <c r="F375" t="str">
        <f>IF(Cleanedtable[[#This Row],[Age]]&lt;18,"TEEN",IF(Cleanedtable[[#This Row],[Age]]&lt;30,"YOUTH",IF(Cleanedtable[[#This Row],[Age]]&lt;=59,"ADULT",IF(Cleanedtable[[#This Row],[Age]]&gt;=60,"ELDER"))))</f>
        <v>ADULT</v>
      </c>
      <c r="G375">
        <v>44</v>
      </c>
      <c r="H375">
        <v>0</v>
      </c>
      <c r="I375">
        <v>0</v>
      </c>
      <c r="J375" t="s">
        <v>910</v>
      </c>
      <c r="K375">
        <v>13</v>
      </c>
      <c r="M375" t="s">
        <v>15</v>
      </c>
      <c r="N375" t="str">
        <f>IF(Cleanedtable[[#This Row],[Age]]&lt;18, "YES","NO")</f>
        <v>NO</v>
      </c>
      <c r="O375" t="str">
        <f>IF(Cleanedtable[[#This Row],[SIBLINGS/SPOUSES]]&gt;0,"YES","NO")</f>
        <v>NO</v>
      </c>
      <c r="P375" t="str">
        <f>IF(Cleanedtable[[#This Row],[Parch]]&gt;0,"YES","NO")</f>
        <v>NO</v>
      </c>
    </row>
    <row r="376" spans="1:16" x14ac:dyDescent="0.35">
      <c r="A376">
        <v>1266</v>
      </c>
      <c r="B376">
        <v>1</v>
      </c>
      <c r="C376">
        <v>1</v>
      </c>
      <c r="D376" t="s">
        <v>547</v>
      </c>
      <c r="E376" t="s">
        <v>14</v>
      </c>
      <c r="F376" t="str">
        <f>IF(Cleanedtable[[#This Row],[Age]]&lt;18,"TEEN",IF(Cleanedtable[[#This Row],[Age]]&lt;30,"YOUTH",IF(Cleanedtable[[#This Row],[Age]]&lt;=59,"ADULT",IF(Cleanedtable[[#This Row],[Age]]&gt;=60,"ELDER"))))</f>
        <v>ADULT</v>
      </c>
      <c r="G376">
        <v>54</v>
      </c>
      <c r="H376">
        <v>1</v>
      </c>
      <c r="I376">
        <v>1</v>
      </c>
      <c r="J376" t="s">
        <v>849</v>
      </c>
      <c r="K376">
        <v>81.8583</v>
      </c>
      <c r="L376" t="s">
        <v>435</v>
      </c>
      <c r="M376" t="s">
        <v>15</v>
      </c>
      <c r="N376" t="str">
        <f>IF(Cleanedtable[[#This Row],[Age]]&lt;18, "YES","NO")</f>
        <v>NO</v>
      </c>
      <c r="O376" t="str">
        <f>IF(Cleanedtable[[#This Row],[SIBLINGS/SPOUSES]]&gt;0,"YES","NO")</f>
        <v>YES</v>
      </c>
      <c r="P376" t="str">
        <f>IF(Cleanedtable[[#This Row],[Parch]]&gt;0,"YES","NO")</f>
        <v>YES</v>
      </c>
    </row>
    <row r="377" spans="1:16" x14ac:dyDescent="0.35">
      <c r="A377">
        <v>1267</v>
      </c>
      <c r="B377">
        <v>1</v>
      </c>
      <c r="C377">
        <v>1</v>
      </c>
      <c r="D377" t="s">
        <v>548</v>
      </c>
      <c r="E377" t="s">
        <v>14</v>
      </c>
      <c r="F377" t="str">
        <f>IF(Cleanedtable[[#This Row],[Age]]&lt;18,"TEEN",IF(Cleanedtable[[#This Row],[Age]]&lt;30,"YOUTH",IF(Cleanedtable[[#This Row],[Age]]&lt;=59,"ADULT",IF(Cleanedtable[[#This Row],[Age]]&gt;=60,"ELDER"))))</f>
        <v>ADULT</v>
      </c>
      <c r="G377">
        <v>45</v>
      </c>
      <c r="H377">
        <v>0</v>
      </c>
      <c r="I377">
        <v>0</v>
      </c>
      <c r="J377" t="s">
        <v>640</v>
      </c>
      <c r="K377">
        <v>262.375</v>
      </c>
      <c r="M377" t="s">
        <v>23</v>
      </c>
      <c r="N377" t="str">
        <f>IF(Cleanedtable[[#This Row],[Age]]&lt;18, "YES","NO")</f>
        <v>NO</v>
      </c>
      <c r="O377" t="str">
        <f>IF(Cleanedtable[[#This Row],[SIBLINGS/SPOUSES]]&gt;0,"YES","NO")</f>
        <v>NO</v>
      </c>
      <c r="P377" t="str">
        <f>IF(Cleanedtable[[#This Row],[Parch]]&gt;0,"YES","NO")</f>
        <v>NO</v>
      </c>
    </row>
    <row r="378" spans="1:16" x14ac:dyDescent="0.35">
      <c r="A378">
        <v>1268</v>
      </c>
      <c r="B378">
        <v>1</v>
      </c>
      <c r="C378">
        <v>3</v>
      </c>
      <c r="D378" t="s">
        <v>549</v>
      </c>
      <c r="E378" t="s">
        <v>14</v>
      </c>
      <c r="F378" t="str">
        <f>IF(Cleanedtable[[#This Row],[Age]]&lt;18,"TEEN",IF(Cleanedtable[[#This Row],[Age]]&lt;30,"YOUTH",IF(Cleanedtable[[#This Row],[Age]]&lt;=59,"ADULT",IF(Cleanedtable[[#This Row],[Age]]&gt;=60,"ELDER"))))</f>
        <v>YOUTH</v>
      </c>
      <c r="G378">
        <v>22</v>
      </c>
      <c r="H378">
        <v>2</v>
      </c>
      <c r="I378">
        <v>0</v>
      </c>
      <c r="J378" t="s">
        <v>911</v>
      </c>
      <c r="K378">
        <v>8.6624999999999996</v>
      </c>
      <c r="M378" t="s">
        <v>15</v>
      </c>
      <c r="N378" t="str">
        <f>IF(Cleanedtable[[#This Row],[Age]]&lt;18, "YES","NO")</f>
        <v>NO</v>
      </c>
      <c r="O378" t="str">
        <f>IF(Cleanedtable[[#This Row],[SIBLINGS/SPOUSES]]&gt;0,"YES","NO")</f>
        <v>YES</v>
      </c>
      <c r="P378" t="str">
        <f>IF(Cleanedtable[[#This Row],[Parch]]&gt;0,"YES","NO")</f>
        <v>NO</v>
      </c>
    </row>
    <row r="379" spans="1:16" x14ac:dyDescent="0.35">
      <c r="A379">
        <v>1269</v>
      </c>
      <c r="B379">
        <v>0</v>
      </c>
      <c r="C379">
        <v>2</v>
      </c>
      <c r="D379" t="s">
        <v>550</v>
      </c>
      <c r="E379" t="s">
        <v>11</v>
      </c>
      <c r="F379" t="str">
        <f>IF(Cleanedtable[[#This Row],[Age]]&lt;18,"TEEN",IF(Cleanedtable[[#This Row],[Age]]&lt;30,"YOUTH",IF(Cleanedtable[[#This Row],[Age]]&lt;=59,"ADULT",IF(Cleanedtable[[#This Row],[Age]]&gt;=60,"ELDER"))))</f>
        <v>YOUTH</v>
      </c>
      <c r="G379">
        <v>21</v>
      </c>
      <c r="H379">
        <v>0</v>
      </c>
      <c r="I379">
        <v>0</v>
      </c>
      <c r="J379" t="s">
        <v>912</v>
      </c>
      <c r="K379">
        <v>11.5</v>
      </c>
      <c r="M379" t="s">
        <v>15</v>
      </c>
      <c r="N379" t="str">
        <f>IF(Cleanedtable[[#This Row],[Age]]&lt;18, "YES","NO")</f>
        <v>NO</v>
      </c>
      <c r="O379" t="str">
        <f>IF(Cleanedtable[[#This Row],[SIBLINGS/SPOUSES]]&gt;0,"YES","NO")</f>
        <v>NO</v>
      </c>
      <c r="P379" t="str">
        <f>IF(Cleanedtable[[#This Row],[Parch]]&gt;0,"YES","NO")</f>
        <v>NO</v>
      </c>
    </row>
    <row r="380" spans="1:16" x14ac:dyDescent="0.35">
      <c r="A380">
        <v>1270</v>
      </c>
      <c r="B380">
        <v>0</v>
      </c>
      <c r="C380">
        <v>1</v>
      </c>
      <c r="D380" t="s">
        <v>551</v>
      </c>
      <c r="E380" t="s">
        <v>11</v>
      </c>
      <c r="F380" t="str">
        <f>IF(Cleanedtable[[#This Row],[Age]]&lt;18,"TEEN",IF(Cleanedtable[[#This Row],[Age]]&lt;30,"YOUTH",IF(Cleanedtable[[#This Row],[Age]]&lt;=59,"ADULT",IF(Cleanedtable[[#This Row],[Age]]&gt;=60,"ELDER"))))</f>
        <v>ADULT</v>
      </c>
      <c r="G380">
        <v>55</v>
      </c>
      <c r="H380">
        <v>0</v>
      </c>
      <c r="I380">
        <v>0</v>
      </c>
      <c r="J380" t="s">
        <v>913</v>
      </c>
      <c r="K380">
        <v>50</v>
      </c>
      <c r="L380" t="s">
        <v>552</v>
      </c>
      <c r="M380" t="s">
        <v>15</v>
      </c>
      <c r="N380" t="str">
        <f>IF(Cleanedtable[[#This Row],[Age]]&lt;18, "YES","NO")</f>
        <v>NO</v>
      </c>
      <c r="O380" t="str">
        <f>IF(Cleanedtable[[#This Row],[SIBLINGS/SPOUSES]]&gt;0,"YES","NO")</f>
        <v>NO</v>
      </c>
      <c r="P380" t="str">
        <f>IF(Cleanedtable[[#This Row],[Parch]]&gt;0,"YES","NO")</f>
        <v>NO</v>
      </c>
    </row>
    <row r="381" spans="1:16" x14ac:dyDescent="0.35">
      <c r="A381">
        <v>1271</v>
      </c>
      <c r="B381">
        <v>0</v>
      </c>
      <c r="C381">
        <v>3</v>
      </c>
      <c r="D381" t="s">
        <v>553</v>
      </c>
      <c r="E381" t="s">
        <v>11</v>
      </c>
      <c r="F381" t="str">
        <f>IF(Cleanedtable[[#This Row],[Age]]&lt;18,"TEEN",IF(Cleanedtable[[#This Row],[Age]]&lt;30,"YOUTH",IF(Cleanedtable[[#This Row],[Age]]&lt;=59,"ADULT",IF(Cleanedtable[[#This Row],[Age]]&gt;=60,"ELDER"))))</f>
        <v>TEEN</v>
      </c>
      <c r="G381">
        <v>5</v>
      </c>
      <c r="H381">
        <v>4</v>
      </c>
      <c r="I381">
        <v>2</v>
      </c>
      <c r="J381" t="s">
        <v>751</v>
      </c>
      <c r="K381">
        <v>31.387499999999999</v>
      </c>
      <c r="M381" t="s">
        <v>15</v>
      </c>
      <c r="N381" t="str">
        <f>IF(Cleanedtable[[#This Row],[Age]]&lt;18, "YES","NO")</f>
        <v>YES</v>
      </c>
      <c r="O381" t="str">
        <f>IF(Cleanedtable[[#This Row],[SIBLINGS/SPOUSES]]&gt;0,"YES","NO")</f>
        <v>YES</v>
      </c>
      <c r="P381" t="str">
        <f>IF(Cleanedtable[[#This Row],[Parch]]&gt;0,"YES","NO")</f>
        <v>YES</v>
      </c>
    </row>
    <row r="382" spans="1:16" x14ac:dyDescent="0.35">
      <c r="A382">
        <v>1272</v>
      </c>
      <c r="B382">
        <v>0</v>
      </c>
      <c r="C382">
        <v>3</v>
      </c>
      <c r="D382" t="s">
        <v>554</v>
      </c>
      <c r="E382" t="s">
        <v>11</v>
      </c>
      <c r="F382" t="str">
        <f>IF(Cleanedtable[[#This Row],[Age]]&lt;18,"TEEN",IF(Cleanedtable[[#This Row],[Age]]&lt;30,"YOUTH",IF(Cleanedtable[[#This Row],[Age]]&lt;=59,"ADULT",IF(Cleanedtable[[#This Row],[Age]]&gt;=60,"ELDER"))))</f>
        <v>ADULT</v>
      </c>
      <c r="G382">
        <v>30.2</v>
      </c>
      <c r="H382">
        <v>0</v>
      </c>
      <c r="I382">
        <v>0</v>
      </c>
      <c r="J382" t="s">
        <v>914</v>
      </c>
      <c r="K382">
        <v>7.75</v>
      </c>
      <c r="M382" t="s">
        <v>12</v>
      </c>
      <c r="N382" t="str">
        <f>IF(Cleanedtable[[#This Row],[Age]]&lt;18, "YES","NO")</f>
        <v>NO</v>
      </c>
      <c r="O382" t="str">
        <f>IF(Cleanedtable[[#This Row],[SIBLINGS/SPOUSES]]&gt;0,"YES","NO")</f>
        <v>NO</v>
      </c>
      <c r="P382" t="str">
        <f>IF(Cleanedtable[[#This Row],[Parch]]&gt;0,"YES","NO")</f>
        <v>NO</v>
      </c>
    </row>
    <row r="383" spans="1:16" x14ac:dyDescent="0.35">
      <c r="A383">
        <v>1273</v>
      </c>
      <c r="B383">
        <v>0</v>
      </c>
      <c r="C383">
        <v>3</v>
      </c>
      <c r="D383" t="s">
        <v>555</v>
      </c>
      <c r="E383" t="s">
        <v>11</v>
      </c>
      <c r="F383" t="str">
        <f>IF(Cleanedtable[[#This Row],[Age]]&lt;18,"TEEN",IF(Cleanedtable[[#This Row],[Age]]&lt;30,"YOUTH",IF(Cleanedtable[[#This Row],[Age]]&lt;=59,"ADULT",IF(Cleanedtable[[#This Row],[Age]]&gt;=60,"ELDER"))))</f>
        <v>YOUTH</v>
      </c>
      <c r="G383">
        <v>26</v>
      </c>
      <c r="H383">
        <v>0</v>
      </c>
      <c r="I383">
        <v>0</v>
      </c>
      <c r="J383" t="s">
        <v>915</v>
      </c>
      <c r="K383">
        <v>7.8792</v>
      </c>
      <c r="M383" t="s">
        <v>12</v>
      </c>
      <c r="N383" t="str">
        <f>IF(Cleanedtable[[#This Row],[Age]]&lt;18, "YES","NO")</f>
        <v>NO</v>
      </c>
      <c r="O383" t="str">
        <f>IF(Cleanedtable[[#This Row],[SIBLINGS/SPOUSES]]&gt;0,"YES","NO")</f>
        <v>NO</v>
      </c>
      <c r="P383" t="str">
        <f>IF(Cleanedtable[[#This Row],[Parch]]&gt;0,"YES","NO")</f>
        <v>NO</v>
      </c>
    </row>
    <row r="384" spans="1:16" x14ac:dyDescent="0.35">
      <c r="A384">
        <v>1274</v>
      </c>
      <c r="B384">
        <v>1</v>
      </c>
      <c r="C384">
        <v>3</v>
      </c>
      <c r="D384" t="s">
        <v>556</v>
      </c>
      <c r="E384" t="s">
        <v>14</v>
      </c>
      <c r="F384" t="str">
        <f>IF(Cleanedtable[[#This Row],[Age]]&lt;18,"TEEN",IF(Cleanedtable[[#This Row],[Age]]&lt;30,"YOUTH",IF(Cleanedtable[[#This Row],[Age]]&lt;=59,"ADULT",IF(Cleanedtable[[#This Row],[Age]]&gt;=60,"ELDER"))))</f>
        <v>ADULT</v>
      </c>
      <c r="G384">
        <v>30.2</v>
      </c>
      <c r="H384">
        <v>0</v>
      </c>
      <c r="I384">
        <v>0</v>
      </c>
      <c r="J384" t="s">
        <v>916</v>
      </c>
      <c r="K384">
        <v>14.5</v>
      </c>
      <c r="M384" t="s">
        <v>15</v>
      </c>
      <c r="N384" t="str">
        <f>IF(Cleanedtable[[#This Row],[Age]]&lt;18, "YES","NO")</f>
        <v>NO</v>
      </c>
      <c r="O384" t="str">
        <f>IF(Cleanedtable[[#This Row],[SIBLINGS/SPOUSES]]&gt;0,"YES","NO")</f>
        <v>NO</v>
      </c>
      <c r="P384" t="str">
        <f>IF(Cleanedtable[[#This Row],[Parch]]&gt;0,"YES","NO")</f>
        <v>NO</v>
      </c>
    </row>
    <row r="385" spans="1:16" x14ac:dyDescent="0.35">
      <c r="A385">
        <v>1275</v>
      </c>
      <c r="B385">
        <v>1</v>
      </c>
      <c r="C385">
        <v>3</v>
      </c>
      <c r="D385" t="s">
        <v>557</v>
      </c>
      <c r="E385" t="s">
        <v>14</v>
      </c>
      <c r="F385" t="str">
        <f>IF(Cleanedtable[[#This Row],[Age]]&lt;18,"TEEN",IF(Cleanedtable[[#This Row],[Age]]&lt;30,"YOUTH",IF(Cleanedtable[[#This Row],[Age]]&lt;=59,"ADULT",IF(Cleanedtable[[#This Row],[Age]]&gt;=60,"ELDER"))))</f>
        <v>YOUTH</v>
      </c>
      <c r="G385">
        <v>19</v>
      </c>
      <c r="H385">
        <v>1</v>
      </c>
      <c r="I385">
        <v>0</v>
      </c>
      <c r="J385" t="s">
        <v>917</v>
      </c>
      <c r="K385">
        <v>16.100000000000001</v>
      </c>
      <c r="M385" t="s">
        <v>15</v>
      </c>
      <c r="N385" t="str">
        <f>IF(Cleanedtable[[#This Row],[Age]]&lt;18, "YES","NO")</f>
        <v>NO</v>
      </c>
      <c r="O385" t="str">
        <f>IF(Cleanedtable[[#This Row],[SIBLINGS/SPOUSES]]&gt;0,"YES","NO")</f>
        <v>YES</v>
      </c>
      <c r="P385" t="str">
        <f>IF(Cleanedtable[[#This Row],[Parch]]&gt;0,"YES","NO")</f>
        <v>NO</v>
      </c>
    </row>
    <row r="386" spans="1:16" x14ac:dyDescent="0.35">
      <c r="A386">
        <v>1276</v>
      </c>
      <c r="B386">
        <v>0</v>
      </c>
      <c r="C386">
        <v>2</v>
      </c>
      <c r="D386" t="s">
        <v>558</v>
      </c>
      <c r="E386" t="s">
        <v>11</v>
      </c>
      <c r="F386" t="str">
        <f>IF(Cleanedtable[[#This Row],[Age]]&lt;18,"TEEN",IF(Cleanedtable[[#This Row],[Age]]&lt;30,"YOUTH",IF(Cleanedtable[[#This Row],[Age]]&lt;=59,"ADULT",IF(Cleanedtable[[#This Row],[Age]]&gt;=60,"ELDER"))))</f>
        <v>ADULT</v>
      </c>
      <c r="G386">
        <v>30.2</v>
      </c>
      <c r="H386">
        <v>0</v>
      </c>
      <c r="I386">
        <v>0</v>
      </c>
      <c r="J386" t="s">
        <v>918</v>
      </c>
      <c r="K386">
        <v>12.875</v>
      </c>
      <c r="M386" t="s">
        <v>15</v>
      </c>
      <c r="N386" t="str">
        <f>IF(Cleanedtable[[#This Row],[Age]]&lt;18, "YES","NO")</f>
        <v>NO</v>
      </c>
      <c r="O386" t="str">
        <f>IF(Cleanedtable[[#This Row],[SIBLINGS/SPOUSES]]&gt;0,"YES","NO")</f>
        <v>NO</v>
      </c>
      <c r="P386" t="str">
        <f>IF(Cleanedtable[[#This Row],[Parch]]&gt;0,"YES","NO")</f>
        <v>NO</v>
      </c>
    </row>
    <row r="387" spans="1:16" x14ac:dyDescent="0.35">
      <c r="A387">
        <v>1277</v>
      </c>
      <c r="B387">
        <v>1</v>
      </c>
      <c r="C387">
        <v>2</v>
      </c>
      <c r="D387" t="s">
        <v>560</v>
      </c>
      <c r="E387" t="s">
        <v>14</v>
      </c>
      <c r="F387" t="str">
        <f>IF(Cleanedtable[[#This Row],[Age]]&lt;18,"TEEN",IF(Cleanedtable[[#This Row],[Age]]&lt;30,"YOUTH",IF(Cleanedtable[[#This Row],[Age]]&lt;=59,"ADULT",IF(Cleanedtable[[#This Row],[Age]]&gt;=60,"ELDER"))))</f>
        <v>YOUTH</v>
      </c>
      <c r="G387">
        <v>24</v>
      </c>
      <c r="H387">
        <v>1</v>
      </c>
      <c r="I387">
        <v>2</v>
      </c>
      <c r="J387" t="s">
        <v>806</v>
      </c>
      <c r="K387">
        <v>65</v>
      </c>
      <c r="M387" t="s">
        <v>15</v>
      </c>
      <c r="N387" t="str">
        <f>IF(Cleanedtable[[#This Row],[Age]]&lt;18, "YES","NO")</f>
        <v>NO</v>
      </c>
      <c r="O387" t="str">
        <f>IF(Cleanedtable[[#This Row],[SIBLINGS/SPOUSES]]&gt;0,"YES","NO")</f>
        <v>YES</v>
      </c>
      <c r="P387" t="str">
        <f>IF(Cleanedtable[[#This Row],[Parch]]&gt;0,"YES","NO")</f>
        <v>YES</v>
      </c>
    </row>
    <row r="388" spans="1:16" x14ac:dyDescent="0.35">
      <c r="A388">
        <v>1278</v>
      </c>
      <c r="B388">
        <v>0</v>
      </c>
      <c r="C388">
        <v>3</v>
      </c>
      <c r="D388" t="s">
        <v>561</v>
      </c>
      <c r="E388" t="s">
        <v>11</v>
      </c>
      <c r="F388" t="str">
        <f>IF(Cleanedtable[[#This Row],[Age]]&lt;18,"TEEN",IF(Cleanedtable[[#This Row],[Age]]&lt;30,"YOUTH",IF(Cleanedtable[[#This Row],[Age]]&lt;=59,"ADULT",IF(Cleanedtable[[#This Row],[Age]]&gt;=60,"ELDER"))))</f>
        <v>YOUTH</v>
      </c>
      <c r="G388">
        <v>24</v>
      </c>
      <c r="H388">
        <v>0</v>
      </c>
      <c r="I388">
        <v>0</v>
      </c>
      <c r="J388" t="s">
        <v>919</v>
      </c>
      <c r="K388">
        <v>7.7750000000000004</v>
      </c>
      <c r="M388" t="s">
        <v>15</v>
      </c>
      <c r="N388" t="str">
        <f>IF(Cleanedtable[[#This Row],[Age]]&lt;18, "YES","NO")</f>
        <v>NO</v>
      </c>
      <c r="O388" t="str">
        <f>IF(Cleanedtable[[#This Row],[SIBLINGS/SPOUSES]]&gt;0,"YES","NO")</f>
        <v>NO</v>
      </c>
      <c r="P388" t="str">
        <f>IF(Cleanedtable[[#This Row],[Parch]]&gt;0,"YES","NO")</f>
        <v>NO</v>
      </c>
    </row>
    <row r="389" spans="1:16" x14ac:dyDescent="0.35">
      <c r="A389">
        <v>1279</v>
      </c>
      <c r="B389">
        <v>0</v>
      </c>
      <c r="C389">
        <v>2</v>
      </c>
      <c r="D389" t="s">
        <v>562</v>
      </c>
      <c r="E389" t="s">
        <v>11</v>
      </c>
      <c r="F389" t="str">
        <f>IF(Cleanedtable[[#This Row],[Age]]&lt;18,"TEEN",IF(Cleanedtable[[#This Row],[Age]]&lt;30,"YOUTH",IF(Cleanedtable[[#This Row],[Age]]&lt;=59,"ADULT",IF(Cleanedtable[[#This Row],[Age]]&gt;=60,"ELDER"))))</f>
        <v>ADULT</v>
      </c>
      <c r="G389">
        <v>57</v>
      </c>
      <c r="H389">
        <v>0</v>
      </c>
      <c r="I389">
        <v>0</v>
      </c>
      <c r="J389" t="s">
        <v>920</v>
      </c>
      <c r="K389">
        <v>13</v>
      </c>
      <c r="M389" t="s">
        <v>15</v>
      </c>
      <c r="N389" t="str">
        <f>IF(Cleanedtable[[#This Row],[Age]]&lt;18, "YES","NO")</f>
        <v>NO</v>
      </c>
      <c r="O389" t="str">
        <f>IF(Cleanedtable[[#This Row],[SIBLINGS/SPOUSES]]&gt;0,"YES","NO")</f>
        <v>NO</v>
      </c>
      <c r="P389" t="str">
        <f>IF(Cleanedtable[[#This Row],[Parch]]&gt;0,"YES","NO")</f>
        <v>NO</v>
      </c>
    </row>
    <row r="390" spans="1:16" x14ac:dyDescent="0.35">
      <c r="A390">
        <v>1280</v>
      </c>
      <c r="B390">
        <v>0</v>
      </c>
      <c r="C390">
        <v>3</v>
      </c>
      <c r="D390" t="s">
        <v>563</v>
      </c>
      <c r="E390" t="s">
        <v>11</v>
      </c>
      <c r="F390" t="str">
        <f>IF(Cleanedtable[[#This Row],[Age]]&lt;18,"TEEN",IF(Cleanedtable[[#This Row],[Age]]&lt;30,"YOUTH",IF(Cleanedtable[[#This Row],[Age]]&lt;=59,"ADULT",IF(Cleanedtable[[#This Row],[Age]]&gt;=60,"ELDER"))))</f>
        <v>YOUTH</v>
      </c>
      <c r="G390">
        <v>21</v>
      </c>
      <c r="H390">
        <v>0</v>
      </c>
      <c r="I390">
        <v>0</v>
      </c>
      <c r="J390" t="s">
        <v>921</v>
      </c>
      <c r="K390">
        <v>7.75</v>
      </c>
      <c r="M390" t="s">
        <v>12</v>
      </c>
      <c r="N390" t="str">
        <f>IF(Cleanedtable[[#This Row],[Age]]&lt;18, "YES","NO")</f>
        <v>NO</v>
      </c>
      <c r="O390" t="str">
        <f>IF(Cleanedtable[[#This Row],[SIBLINGS/SPOUSES]]&gt;0,"YES","NO")</f>
        <v>NO</v>
      </c>
      <c r="P390" t="str">
        <f>IF(Cleanedtable[[#This Row],[Parch]]&gt;0,"YES","NO")</f>
        <v>NO</v>
      </c>
    </row>
    <row r="391" spans="1:16" x14ac:dyDescent="0.35">
      <c r="A391">
        <v>1281</v>
      </c>
      <c r="B391">
        <v>0</v>
      </c>
      <c r="C391">
        <v>3</v>
      </c>
      <c r="D391" t="s">
        <v>564</v>
      </c>
      <c r="E391" t="s">
        <v>11</v>
      </c>
      <c r="F391" t="str">
        <f>IF(Cleanedtable[[#This Row],[Age]]&lt;18,"TEEN",IF(Cleanedtable[[#This Row],[Age]]&lt;30,"YOUTH",IF(Cleanedtable[[#This Row],[Age]]&lt;=59,"ADULT",IF(Cleanedtable[[#This Row],[Age]]&gt;=60,"ELDER"))))</f>
        <v>TEEN</v>
      </c>
      <c r="G391">
        <v>6</v>
      </c>
      <c r="H391">
        <v>3</v>
      </c>
      <c r="I391">
        <v>1</v>
      </c>
      <c r="J391" t="s">
        <v>922</v>
      </c>
      <c r="K391">
        <v>21.074999999999999</v>
      </c>
      <c r="M391" t="s">
        <v>15</v>
      </c>
      <c r="N391" t="str">
        <f>IF(Cleanedtable[[#This Row],[Age]]&lt;18, "YES","NO")</f>
        <v>YES</v>
      </c>
      <c r="O391" t="str">
        <f>IF(Cleanedtable[[#This Row],[SIBLINGS/SPOUSES]]&gt;0,"YES","NO")</f>
        <v>YES</v>
      </c>
      <c r="P391" t="str">
        <f>IF(Cleanedtable[[#This Row],[Parch]]&gt;0,"YES","NO")</f>
        <v>YES</v>
      </c>
    </row>
    <row r="392" spans="1:16" x14ac:dyDescent="0.35">
      <c r="A392">
        <v>1282</v>
      </c>
      <c r="B392">
        <v>0</v>
      </c>
      <c r="C392">
        <v>1</v>
      </c>
      <c r="D392" t="s">
        <v>565</v>
      </c>
      <c r="E392" t="s">
        <v>11</v>
      </c>
      <c r="F392" t="str">
        <f>IF(Cleanedtable[[#This Row],[Age]]&lt;18,"TEEN",IF(Cleanedtable[[#This Row],[Age]]&lt;30,"YOUTH",IF(Cleanedtable[[#This Row],[Age]]&lt;=59,"ADULT",IF(Cleanedtable[[#This Row],[Age]]&gt;=60,"ELDER"))))</f>
        <v>YOUTH</v>
      </c>
      <c r="G392">
        <v>23</v>
      </c>
      <c r="H392">
        <v>0</v>
      </c>
      <c r="I392">
        <v>0</v>
      </c>
      <c r="J392" t="s">
        <v>861</v>
      </c>
      <c r="K392">
        <v>93.5</v>
      </c>
      <c r="L392" t="s">
        <v>566</v>
      </c>
      <c r="M392" t="s">
        <v>15</v>
      </c>
      <c r="N392" t="str">
        <f>IF(Cleanedtable[[#This Row],[Age]]&lt;18, "YES","NO")</f>
        <v>NO</v>
      </c>
      <c r="O392" t="str">
        <f>IF(Cleanedtable[[#This Row],[SIBLINGS/SPOUSES]]&gt;0,"YES","NO")</f>
        <v>NO</v>
      </c>
      <c r="P392" t="str">
        <f>IF(Cleanedtable[[#This Row],[Parch]]&gt;0,"YES","NO")</f>
        <v>NO</v>
      </c>
    </row>
    <row r="393" spans="1:16" x14ac:dyDescent="0.35">
      <c r="A393">
        <v>1283</v>
      </c>
      <c r="B393">
        <v>1</v>
      </c>
      <c r="C393">
        <v>1</v>
      </c>
      <c r="D393" t="s">
        <v>567</v>
      </c>
      <c r="E393" t="s">
        <v>14</v>
      </c>
      <c r="F393" t="str">
        <f>IF(Cleanedtable[[#This Row],[Age]]&lt;18,"TEEN",IF(Cleanedtable[[#This Row],[Age]]&lt;30,"YOUTH",IF(Cleanedtable[[#This Row],[Age]]&lt;=59,"ADULT",IF(Cleanedtable[[#This Row],[Age]]&gt;=60,"ELDER"))))</f>
        <v>ADULT</v>
      </c>
      <c r="G393">
        <v>51</v>
      </c>
      <c r="H393">
        <v>0</v>
      </c>
      <c r="I393">
        <v>1</v>
      </c>
      <c r="J393" t="s">
        <v>923</v>
      </c>
      <c r="K393">
        <v>39.4</v>
      </c>
      <c r="L393" t="s">
        <v>569</v>
      </c>
      <c r="M393" t="s">
        <v>15</v>
      </c>
      <c r="N393" t="str">
        <f>IF(Cleanedtable[[#This Row],[Age]]&lt;18, "YES","NO")</f>
        <v>NO</v>
      </c>
      <c r="O393" t="str">
        <f>IF(Cleanedtable[[#This Row],[SIBLINGS/SPOUSES]]&gt;0,"YES","NO")</f>
        <v>NO</v>
      </c>
      <c r="P393" t="str">
        <f>IF(Cleanedtable[[#This Row],[Parch]]&gt;0,"YES","NO")</f>
        <v>YES</v>
      </c>
    </row>
    <row r="394" spans="1:16" x14ac:dyDescent="0.35">
      <c r="A394">
        <v>1284</v>
      </c>
      <c r="B394">
        <v>0</v>
      </c>
      <c r="C394">
        <v>3</v>
      </c>
      <c r="D394" t="s">
        <v>570</v>
      </c>
      <c r="E394" t="s">
        <v>11</v>
      </c>
      <c r="F394" t="str">
        <f>IF(Cleanedtable[[#This Row],[Age]]&lt;18,"TEEN",IF(Cleanedtable[[#This Row],[Age]]&lt;30,"YOUTH",IF(Cleanedtable[[#This Row],[Age]]&lt;=59,"ADULT",IF(Cleanedtable[[#This Row],[Age]]&gt;=60,"ELDER"))))</f>
        <v>TEEN</v>
      </c>
      <c r="G394">
        <v>13</v>
      </c>
      <c r="H394">
        <v>0</v>
      </c>
      <c r="I394">
        <v>2</v>
      </c>
      <c r="J394" t="s">
        <v>571</v>
      </c>
      <c r="K394">
        <v>20.25</v>
      </c>
      <c r="M394" t="s">
        <v>15</v>
      </c>
      <c r="N394" t="str">
        <f>IF(Cleanedtable[[#This Row],[Age]]&lt;18, "YES","NO")</f>
        <v>YES</v>
      </c>
      <c r="O394" t="str">
        <f>IF(Cleanedtable[[#This Row],[SIBLINGS/SPOUSES]]&gt;0,"YES","NO")</f>
        <v>NO</v>
      </c>
      <c r="P394" t="str">
        <f>IF(Cleanedtable[[#This Row],[Parch]]&gt;0,"YES","NO")</f>
        <v>YES</v>
      </c>
    </row>
    <row r="395" spans="1:16" x14ac:dyDescent="0.35">
      <c r="A395">
        <v>1285</v>
      </c>
      <c r="B395">
        <v>0</v>
      </c>
      <c r="C395">
        <v>2</v>
      </c>
      <c r="D395" t="s">
        <v>572</v>
      </c>
      <c r="E395" t="s">
        <v>11</v>
      </c>
      <c r="F395" t="str">
        <f>IF(Cleanedtable[[#This Row],[Age]]&lt;18,"TEEN",IF(Cleanedtable[[#This Row],[Age]]&lt;30,"YOUTH",IF(Cleanedtable[[#This Row],[Age]]&lt;=59,"ADULT",IF(Cleanedtable[[#This Row],[Age]]&gt;=60,"ELDER"))))</f>
        <v>ADULT</v>
      </c>
      <c r="G395">
        <v>47</v>
      </c>
      <c r="H395">
        <v>0</v>
      </c>
      <c r="I395">
        <v>0</v>
      </c>
      <c r="J395" t="s">
        <v>573</v>
      </c>
      <c r="K395">
        <v>10.5</v>
      </c>
      <c r="M395" t="s">
        <v>15</v>
      </c>
      <c r="N395" t="str">
        <f>IF(Cleanedtable[[#This Row],[Age]]&lt;18, "YES","NO")</f>
        <v>NO</v>
      </c>
      <c r="O395" t="str">
        <f>IF(Cleanedtable[[#This Row],[SIBLINGS/SPOUSES]]&gt;0,"YES","NO")</f>
        <v>NO</v>
      </c>
      <c r="P395" t="str">
        <f>IF(Cleanedtable[[#This Row],[Parch]]&gt;0,"YES","NO")</f>
        <v>NO</v>
      </c>
    </row>
    <row r="396" spans="1:16" x14ac:dyDescent="0.35">
      <c r="A396">
        <v>1286</v>
      </c>
      <c r="B396">
        <v>0</v>
      </c>
      <c r="C396">
        <v>3</v>
      </c>
      <c r="D396" t="s">
        <v>574</v>
      </c>
      <c r="E396" t="s">
        <v>11</v>
      </c>
      <c r="F396" t="str">
        <f>IF(Cleanedtable[[#This Row],[Age]]&lt;18,"TEEN",IF(Cleanedtable[[#This Row],[Age]]&lt;30,"YOUTH",IF(Cleanedtable[[#This Row],[Age]]&lt;=59,"ADULT",IF(Cleanedtable[[#This Row],[Age]]&gt;=60,"ELDER"))))</f>
        <v>YOUTH</v>
      </c>
      <c r="G396">
        <v>29</v>
      </c>
      <c r="H396">
        <v>3</v>
      </c>
      <c r="I396">
        <v>1</v>
      </c>
      <c r="J396" t="s">
        <v>760</v>
      </c>
      <c r="K396">
        <v>22.024999999999999</v>
      </c>
      <c r="M396" t="s">
        <v>15</v>
      </c>
      <c r="N396" t="str">
        <f>IF(Cleanedtable[[#This Row],[Age]]&lt;18, "YES","NO")</f>
        <v>NO</v>
      </c>
      <c r="O396" t="str">
        <f>IF(Cleanedtable[[#This Row],[SIBLINGS/SPOUSES]]&gt;0,"YES","NO")</f>
        <v>YES</v>
      </c>
      <c r="P396" t="str">
        <f>IF(Cleanedtable[[#This Row],[Parch]]&gt;0,"YES","NO")</f>
        <v>YES</v>
      </c>
    </row>
    <row r="397" spans="1:16" x14ac:dyDescent="0.35">
      <c r="A397">
        <v>1287</v>
      </c>
      <c r="B397">
        <v>1</v>
      </c>
      <c r="C397">
        <v>1</v>
      </c>
      <c r="D397" t="s">
        <v>575</v>
      </c>
      <c r="E397" t="s">
        <v>14</v>
      </c>
      <c r="F397" t="str">
        <f>IF(Cleanedtable[[#This Row],[Age]]&lt;18,"TEEN",IF(Cleanedtable[[#This Row],[Age]]&lt;30,"YOUTH",IF(Cleanedtable[[#This Row],[Age]]&lt;=59,"ADULT",IF(Cleanedtable[[#This Row],[Age]]&gt;=60,"ELDER"))))</f>
        <v>YOUTH</v>
      </c>
      <c r="G397">
        <v>18</v>
      </c>
      <c r="H397">
        <v>1</v>
      </c>
      <c r="I397">
        <v>0</v>
      </c>
      <c r="J397" t="s">
        <v>661</v>
      </c>
      <c r="K397">
        <v>60</v>
      </c>
      <c r="L397" t="s">
        <v>94</v>
      </c>
      <c r="M397" t="s">
        <v>15</v>
      </c>
      <c r="N397" t="str">
        <f>IF(Cleanedtable[[#This Row],[Age]]&lt;18, "YES","NO")</f>
        <v>NO</v>
      </c>
      <c r="O397" t="str">
        <f>IF(Cleanedtable[[#This Row],[SIBLINGS/SPOUSES]]&gt;0,"YES","NO")</f>
        <v>YES</v>
      </c>
      <c r="P397" t="str">
        <f>IF(Cleanedtable[[#This Row],[Parch]]&gt;0,"YES","NO")</f>
        <v>NO</v>
      </c>
    </row>
    <row r="398" spans="1:16" x14ac:dyDescent="0.35">
      <c r="A398">
        <v>1288</v>
      </c>
      <c r="B398">
        <v>0</v>
      </c>
      <c r="C398">
        <v>3</v>
      </c>
      <c r="D398" t="s">
        <v>576</v>
      </c>
      <c r="E398" t="s">
        <v>11</v>
      </c>
      <c r="F398" t="str">
        <f>IF(Cleanedtable[[#This Row],[Age]]&lt;18,"TEEN",IF(Cleanedtable[[#This Row],[Age]]&lt;30,"YOUTH",IF(Cleanedtable[[#This Row],[Age]]&lt;=59,"ADULT",IF(Cleanedtable[[#This Row],[Age]]&gt;=60,"ELDER"))))</f>
        <v>YOUTH</v>
      </c>
      <c r="G398">
        <v>24</v>
      </c>
      <c r="H398">
        <v>0</v>
      </c>
      <c r="I398">
        <v>0</v>
      </c>
      <c r="J398" t="s">
        <v>924</v>
      </c>
      <c r="K398">
        <v>7.25</v>
      </c>
      <c r="M398" t="s">
        <v>12</v>
      </c>
      <c r="N398" t="str">
        <f>IF(Cleanedtable[[#This Row],[Age]]&lt;18, "YES","NO")</f>
        <v>NO</v>
      </c>
      <c r="O398" t="str">
        <f>IF(Cleanedtable[[#This Row],[SIBLINGS/SPOUSES]]&gt;0,"YES","NO")</f>
        <v>NO</v>
      </c>
      <c r="P398" t="str">
        <f>IF(Cleanedtable[[#This Row],[Parch]]&gt;0,"YES","NO")</f>
        <v>NO</v>
      </c>
    </row>
    <row r="399" spans="1:16" x14ac:dyDescent="0.35">
      <c r="A399">
        <v>1289</v>
      </c>
      <c r="B399">
        <v>1</v>
      </c>
      <c r="C399">
        <v>1</v>
      </c>
      <c r="D399" t="s">
        <v>577</v>
      </c>
      <c r="E399" t="s">
        <v>14</v>
      </c>
      <c r="F399" t="str">
        <f>IF(Cleanedtable[[#This Row],[Age]]&lt;18,"TEEN",IF(Cleanedtable[[#This Row],[Age]]&lt;30,"YOUTH",IF(Cleanedtable[[#This Row],[Age]]&lt;=59,"ADULT",IF(Cleanedtable[[#This Row],[Age]]&gt;=60,"ELDER"))))</f>
        <v>ADULT</v>
      </c>
      <c r="G399">
        <v>48</v>
      </c>
      <c r="H399">
        <v>1</v>
      </c>
      <c r="I399">
        <v>1</v>
      </c>
      <c r="J399" t="s">
        <v>925</v>
      </c>
      <c r="K399">
        <v>79.2</v>
      </c>
      <c r="L399" t="s">
        <v>578</v>
      </c>
      <c r="M399" t="s">
        <v>23</v>
      </c>
      <c r="N399" t="str">
        <f>IF(Cleanedtable[[#This Row],[Age]]&lt;18, "YES","NO")</f>
        <v>NO</v>
      </c>
      <c r="O399" t="str">
        <f>IF(Cleanedtable[[#This Row],[SIBLINGS/SPOUSES]]&gt;0,"YES","NO")</f>
        <v>YES</v>
      </c>
      <c r="P399" t="str">
        <f>IF(Cleanedtable[[#This Row],[Parch]]&gt;0,"YES","NO")</f>
        <v>YES</v>
      </c>
    </row>
    <row r="400" spans="1:16" x14ac:dyDescent="0.35">
      <c r="A400">
        <v>1290</v>
      </c>
      <c r="B400">
        <v>0</v>
      </c>
      <c r="C400">
        <v>3</v>
      </c>
      <c r="D400" t="s">
        <v>579</v>
      </c>
      <c r="E400" t="s">
        <v>11</v>
      </c>
      <c r="F400" t="str">
        <f>IF(Cleanedtable[[#This Row],[Age]]&lt;18,"TEEN",IF(Cleanedtable[[#This Row],[Age]]&lt;30,"YOUTH",IF(Cleanedtable[[#This Row],[Age]]&lt;=59,"ADULT",IF(Cleanedtable[[#This Row],[Age]]&gt;=60,"ELDER"))))</f>
        <v>YOUTH</v>
      </c>
      <c r="G400">
        <v>22</v>
      </c>
      <c r="H400">
        <v>0</v>
      </c>
      <c r="I400">
        <v>0</v>
      </c>
      <c r="J400" t="s">
        <v>926</v>
      </c>
      <c r="K400">
        <v>7.7750000000000004</v>
      </c>
      <c r="M400" t="s">
        <v>15</v>
      </c>
      <c r="N400" t="str">
        <f>IF(Cleanedtable[[#This Row],[Age]]&lt;18, "YES","NO")</f>
        <v>NO</v>
      </c>
      <c r="O400" t="str">
        <f>IF(Cleanedtable[[#This Row],[SIBLINGS/SPOUSES]]&gt;0,"YES","NO")</f>
        <v>NO</v>
      </c>
      <c r="P400" t="str">
        <f>IF(Cleanedtable[[#This Row],[Parch]]&gt;0,"YES","NO")</f>
        <v>NO</v>
      </c>
    </row>
    <row r="401" spans="1:16" x14ac:dyDescent="0.35">
      <c r="A401">
        <v>1291</v>
      </c>
      <c r="B401">
        <v>0</v>
      </c>
      <c r="C401">
        <v>3</v>
      </c>
      <c r="D401" t="s">
        <v>580</v>
      </c>
      <c r="E401" t="s">
        <v>11</v>
      </c>
      <c r="F401" t="str">
        <f>IF(Cleanedtable[[#This Row],[Age]]&lt;18,"TEEN",IF(Cleanedtable[[#This Row],[Age]]&lt;30,"YOUTH",IF(Cleanedtable[[#This Row],[Age]]&lt;=59,"ADULT",IF(Cleanedtable[[#This Row],[Age]]&gt;=60,"ELDER"))))</f>
        <v>ADULT</v>
      </c>
      <c r="G401">
        <v>31</v>
      </c>
      <c r="H401">
        <v>0</v>
      </c>
      <c r="I401">
        <v>0</v>
      </c>
      <c r="J401" t="s">
        <v>927</v>
      </c>
      <c r="K401">
        <v>7.7332999999999998</v>
      </c>
      <c r="M401" t="s">
        <v>12</v>
      </c>
      <c r="N401" t="str">
        <f>IF(Cleanedtable[[#This Row],[Age]]&lt;18, "YES","NO")</f>
        <v>NO</v>
      </c>
      <c r="O401" t="str">
        <f>IF(Cleanedtable[[#This Row],[SIBLINGS/SPOUSES]]&gt;0,"YES","NO")</f>
        <v>NO</v>
      </c>
      <c r="P401" t="str">
        <f>IF(Cleanedtable[[#This Row],[Parch]]&gt;0,"YES","NO")</f>
        <v>NO</v>
      </c>
    </row>
    <row r="402" spans="1:16" x14ac:dyDescent="0.35">
      <c r="A402">
        <v>1292</v>
      </c>
      <c r="B402">
        <v>1</v>
      </c>
      <c r="C402">
        <v>1</v>
      </c>
      <c r="D402" t="s">
        <v>581</v>
      </c>
      <c r="E402" t="s">
        <v>14</v>
      </c>
      <c r="F402" t="str">
        <f>IF(Cleanedtable[[#This Row],[Age]]&lt;18,"TEEN",IF(Cleanedtable[[#This Row],[Age]]&lt;30,"YOUTH",IF(Cleanedtable[[#This Row],[Age]]&lt;=59,"ADULT",IF(Cleanedtable[[#This Row],[Age]]&gt;=60,"ELDER"))))</f>
        <v>ADULT</v>
      </c>
      <c r="G402">
        <v>30</v>
      </c>
      <c r="H402">
        <v>0</v>
      </c>
      <c r="I402">
        <v>0</v>
      </c>
      <c r="J402" t="s">
        <v>796</v>
      </c>
      <c r="K402">
        <v>164.86670000000001</v>
      </c>
      <c r="L402" t="s">
        <v>582</v>
      </c>
      <c r="M402" t="s">
        <v>15</v>
      </c>
      <c r="N402" t="str">
        <f>IF(Cleanedtable[[#This Row],[Age]]&lt;18, "YES","NO")</f>
        <v>NO</v>
      </c>
      <c r="O402" t="str">
        <f>IF(Cleanedtable[[#This Row],[SIBLINGS/SPOUSES]]&gt;0,"YES","NO")</f>
        <v>NO</v>
      </c>
      <c r="P402" t="str">
        <f>IF(Cleanedtable[[#This Row],[Parch]]&gt;0,"YES","NO")</f>
        <v>NO</v>
      </c>
    </row>
    <row r="403" spans="1:16" x14ac:dyDescent="0.35">
      <c r="A403">
        <v>1293</v>
      </c>
      <c r="B403">
        <v>0</v>
      </c>
      <c r="C403">
        <v>2</v>
      </c>
      <c r="D403" t="s">
        <v>583</v>
      </c>
      <c r="E403" t="s">
        <v>11</v>
      </c>
      <c r="F403" t="str">
        <f>IF(Cleanedtable[[#This Row],[Age]]&lt;18,"TEEN",IF(Cleanedtable[[#This Row],[Age]]&lt;30,"YOUTH",IF(Cleanedtable[[#This Row],[Age]]&lt;=59,"ADULT",IF(Cleanedtable[[#This Row],[Age]]&gt;=60,"ELDER"))))</f>
        <v>ADULT</v>
      </c>
      <c r="G403">
        <v>38</v>
      </c>
      <c r="H403">
        <v>1</v>
      </c>
      <c r="I403">
        <v>0</v>
      </c>
      <c r="J403" t="s">
        <v>928</v>
      </c>
      <c r="K403">
        <v>21</v>
      </c>
      <c r="M403" t="s">
        <v>15</v>
      </c>
      <c r="N403" t="str">
        <f>IF(Cleanedtable[[#This Row],[Age]]&lt;18, "YES","NO")</f>
        <v>NO</v>
      </c>
      <c r="O403" t="str">
        <f>IF(Cleanedtable[[#This Row],[SIBLINGS/SPOUSES]]&gt;0,"YES","NO")</f>
        <v>YES</v>
      </c>
      <c r="P403" t="str">
        <f>IF(Cleanedtable[[#This Row],[Parch]]&gt;0,"YES","NO")</f>
        <v>NO</v>
      </c>
    </row>
    <row r="404" spans="1:16" x14ac:dyDescent="0.35">
      <c r="A404">
        <v>1294</v>
      </c>
      <c r="B404">
        <v>1</v>
      </c>
      <c r="C404">
        <v>1</v>
      </c>
      <c r="D404" t="s">
        <v>584</v>
      </c>
      <c r="E404" t="s">
        <v>14</v>
      </c>
      <c r="F404" t="str">
        <f>IF(Cleanedtable[[#This Row],[Age]]&lt;18,"TEEN",IF(Cleanedtable[[#This Row],[Age]]&lt;30,"YOUTH",IF(Cleanedtable[[#This Row],[Age]]&lt;=59,"ADULT",IF(Cleanedtable[[#This Row],[Age]]&gt;=60,"ELDER"))))</f>
        <v>YOUTH</v>
      </c>
      <c r="G404">
        <v>22</v>
      </c>
      <c r="H404">
        <v>0</v>
      </c>
      <c r="I404">
        <v>1</v>
      </c>
      <c r="J404" t="s">
        <v>906</v>
      </c>
      <c r="K404">
        <v>59.4</v>
      </c>
      <c r="M404" t="s">
        <v>23</v>
      </c>
      <c r="N404" t="str">
        <f>IF(Cleanedtable[[#This Row],[Age]]&lt;18, "YES","NO")</f>
        <v>NO</v>
      </c>
      <c r="O404" t="str">
        <f>IF(Cleanedtable[[#This Row],[SIBLINGS/SPOUSES]]&gt;0,"YES","NO")</f>
        <v>NO</v>
      </c>
      <c r="P404" t="str">
        <f>IF(Cleanedtable[[#This Row],[Parch]]&gt;0,"YES","NO")</f>
        <v>YES</v>
      </c>
    </row>
    <row r="405" spans="1:16" x14ac:dyDescent="0.35">
      <c r="A405">
        <v>1295</v>
      </c>
      <c r="B405">
        <v>0</v>
      </c>
      <c r="C405">
        <v>1</v>
      </c>
      <c r="D405" t="s">
        <v>585</v>
      </c>
      <c r="E405" t="s">
        <v>11</v>
      </c>
      <c r="F405" t="str">
        <f>IF(Cleanedtable[[#This Row],[Age]]&lt;18,"TEEN",IF(Cleanedtable[[#This Row],[Age]]&lt;30,"YOUTH",IF(Cleanedtable[[#This Row],[Age]]&lt;=59,"ADULT",IF(Cleanedtable[[#This Row],[Age]]&gt;=60,"ELDER"))))</f>
        <v>TEEN</v>
      </c>
      <c r="G405">
        <v>17</v>
      </c>
      <c r="H405">
        <v>0</v>
      </c>
      <c r="I405">
        <v>0</v>
      </c>
      <c r="J405" t="s">
        <v>929</v>
      </c>
      <c r="K405">
        <v>47.1</v>
      </c>
      <c r="M405" t="s">
        <v>15</v>
      </c>
      <c r="N405" t="str">
        <f>IF(Cleanedtable[[#This Row],[Age]]&lt;18, "YES","NO")</f>
        <v>YES</v>
      </c>
      <c r="O405" t="str">
        <f>IF(Cleanedtable[[#This Row],[SIBLINGS/SPOUSES]]&gt;0,"YES","NO")</f>
        <v>NO</v>
      </c>
      <c r="P405" t="str">
        <f>IF(Cleanedtable[[#This Row],[Parch]]&gt;0,"YES","NO")</f>
        <v>NO</v>
      </c>
    </row>
    <row r="406" spans="1:16" x14ac:dyDescent="0.35">
      <c r="A406">
        <v>1296</v>
      </c>
      <c r="B406">
        <v>0</v>
      </c>
      <c r="C406">
        <v>1</v>
      </c>
      <c r="D406" t="s">
        <v>586</v>
      </c>
      <c r="E406" t="s">
        <v>11</v>
      </c>
      <c r="F406" t="str">
        <f>IF(Cleanedtable[[#This Row],[Age]]&lt;18,"TEEN",IF(Cleanedtable[[#This Row],[Age]]&lt;30,"YOUTH",IF(Cleanedtable[[#This Row],[Age]]&lt;=59,"ADULT",IF(Cleanedtable[[#This Row],[Age]]&gt;=60,"ELDER"))))</f>
        <v>ADULT</v>
      </c>
      <c r="G406">
        <v>43</v>
      </c>
      <c r="H406">
        <v>1</v>
      </c>
      <c r="I406">
        <v>0</v>
      </c>
      <c r="J406" t="s">
        <v>930</v>
      </c>
      <c r="K406">
        <v>27.720800000000001</v>
      </c>
      <c r="L406" t="s">
        <v>587</v>
      </c>
      <c r="M406" t="s">
        <v>23</v>
      </c>
      <c r="N406" t="str">
        <f>IF(Cleanedtable[[#This Row],[Age]]&lt;18, "YES","NO")</f>
        <v>NO</v>
      </c>
      <c r="O406" t="str">
        <f>IF(Cleanedtable[[#This Row],[SIBLINGS/SPOUSES]]&gt;0,"YES","NO")</f>
        <v>YES</v>
      </c>
      <c r="P406" t="str">
        <f>IF(Cleanedtable[[#This Row],[Parch]]&gt;0,"YES","NO")</f>
        <v>NO</v>
      </c>
    </row>
    <row r="407" spans="1:16" x14ac:dyDescent="0.35">
      <c r="A407">
        <v>1297</v>
      </c>
      <c r="B407">
        <v>0</v>
      </c>
      <c r="C407">
        <v>2</v>
      </c>
      <c r="D407" t="s">
        <v>588</v>
      </c>
      <c r="E407" t="s">
        <v>11</v>
      </c>
      <c r="F407" t="str">
        <f>IF(Cleanedtable[[#This Row],[Age]]&lt;18,"TEEN",IF(Cleanedtable[[#This Row],[Age]]&lt;30,"YOUTH",IF(Cleanedtable[[#This Row],[Age]]&lt;=59,"ADULT",IF(Cleanedtable[[#This Row],[Age]]&gt;=60,"ELDER"))))</f>
        <v>YOUTH</v>
      </c>
      <c r="G407">
        <v>20</v>
      </c>
      <c r="H407">
        <v>0</v>
      </c>
      <c r="I407">
        <v>0</v>
      </c>
      <c r="J407" t="s">
        <v>931</v>
      </c>
      <c r="K407">
        <v>13.862500000000001</v>
      </c>
      <c r="L407" t="s">
        <v>590</v>
      </c>
      <c r="M407" t="s">
        <v>23</v>
      </c>
      <c r="N407" t="str">
        <f>IF(Cleanedtable[[#This Row],[Age]]&lt;18, "YES","NO")</f>
        <v>NO</v>
      </c>
      <c r="O407" t="str">
        <f>IF(Cleanedtable[[#This Row],[SIBLINGS/SPOUSES]]&gt;0,"YES","NO")</f>
        <v>NO</v>
      </c>
      <c r="P407" t="str">
        <f>IF(Cleanedtable[[#This Row],[Parch]]&gt;0,"YES","NO")</f>
        <v>NO</v>
      </c>
    </row>
    <row r="408" spans="1:16" x14ac:dyDescent="0.35">
      <c r="A408">
        <v>1298</v>
      </c>
      <c r="B408">
        <v>0</v>
      </c>
      <c r="C408">
        <v>2</v>
      </c>
      <c r="D408" t="s">
        <v>591</v>
      </c>
      <c r="E408" t="s">
        <v>11</v>
      </c>
      <c r="F408" t="str">
        <f>IF(Cleanedtable[[#This Row],[Age]]&lt;18,"TEEN",IF(Cleanedtable[[#This Row],[Age]]&lt;30,"YOUTH",IF(Cleanedtable[[#This Row],[Age]]&lt;=59,"ADULT",IF(Cleanedtable[[#This Row],[Age]]&gt;=60,"ELDER"))))</f>
        <v>YOUTH</v>
      </c>
      <c r="G408">
        <v>23</v>
      </c>
      <c r="H408">
        <v>1</v>
      </c>
      <c r="I408">
        <v>0</v>
      </c>
      <c r="J408" t="s">
        <v>932</v>
      </c>
      <c r="K408">
        <v>10.5</v>
      </c>
      <c r="M408" t="s">
        <v>15</v>
      </c>
      <c r="N408" t="str">
        <f>IF(Cleanedtable[[#This Row],[Age]]&lt;18, "YES","NO")</f>
        <v>NO</v>
      </c>
      <c r="O408" t="str">
        <f>IF(Cleanedtable[[#This Row],[SIBLINGS/SPOUSES]]&gt;0,"YES","NO")</f>
        <v>YES</v>
      </c>
      <c r="P408" t="str">
        <f>IF(Cleanedtable[[#This Row],[Parch]]&gt;0,"YES","NO")</f>
        <v>NO</v>
      </c>
    </row>
    <row r="409" spans="1:16" x14ac:dyDescent="0.35">
      <c r="A409">
        <v>1299</v>
      </c>
      <c r="B409">
        <v>0</v>
      </c>
      <c r="C409">
        <v>1</v>
      </c>
      <c r="D409" t="s">
        <v>592</v>
      </c>
      <c r="E409" t="s">
        <v>11</v>
      </c>
      <c r="F409" t="str">
        <f>IF(Cleanedtable[[#This Row],[Age]]&lt;18,"TEEN",IF(Cleanedtable[[#This Row],[Age]]&lt;30,"YOUTH",IF(Cleanedtable[[#This Row],[Age]]&lt;=59,"ADULT",IF(Cleanedtable[[#This Row],[Age]]&gt;=60,"ELDER"))))</f>
        <v>ADULT</v>
      </c>
      <c r="G409">
        <v>50</v>
      </c>
      <c r="H409">
        <v>1</v>
      </c>
      <c r="I409">
        <v>1</v>
      </c>
      <c r="J409" t="s">
        <v>681</v>
      </c>
      <c r="K409">
        <v>211.5</v>
      </c>
      <c r="L409" t="s">
        <v>332</v>
      </c>
      <c r="M409" t="s">
        <v>23</v>
      </c>
      <c r="N409" t="str">
        <f>IF(Cleanedtable[[#This Row],[Age]]&lt;18, "YES","NO")</f>
        <v>NO</v>
      </c>
      <c r="O409" t="str">
        <f>IF(Cleanedtable[[#This Row],[SIBLINGS/SPOUSES]]&gt;0,"YES","NO")</f>
        <v>YES</v>
      </c>
      <c r="P409" t="str">
        <f>IF(Cleanedtable[[#This Row],[Parch]]&gt;0,"YES","NO")</f>
        <v>YES</v>
      </c>
    </row>
    <row r="410" spans="1:16" x14ac:dyDescent="0.35">
      <c r="A410">
        <v>1300</v>
      </c>
      <c r="B410">
        <v>1</v>
      </c>
      <c r="C410">
        <v>3</v>
      </c>
      <c r="D410" t="s">
        <v>593</v>
      </c>
      <c r="E410" t="s">
        <v>14</v>
      </c>
      <c r="F410" t="str">
        <f>IF(Cleanedtable[[#This Row],[Age]]&lt;18,"TEEN",IF(Cleanedtable[[#This Row],[Age]]&lt;30,"YOUTH",IF(Cleanedtable[[#This Row],[Age]]&lt;=59,"ADULT",IF(Cleanedtable[[#This Row],[Age]]&gt;=60,"ELDER"))))</f>
        <v>ADULT</v>
      </c>
      <c r="G410">
        <v>30.2</v>
      </c>
      <c r="H410">
        <v>0</v>
      </c>
      <c r="I410">
        <v>0</v>
      </c>
      <c r="J410" t="s">
        <v>933</v>
      </c>
      <c r="K410">
        <v>7.7207999999999997</v>
      </c>
      <c r="M410" t="s">
        <v>12</v>
      </c>
      <c r="N410" t="str">
        <f>IF(Cleanedtable[[#This Row],[Age]]&lt;18, "YES","NO")</f>
        <v>NO</v>
      </c>
      <c r="O410" t="str">
        <f>IF(Cleanedtable[[#This Row],[SIBLINGS/SPOUSES]]&gt;0,"YES","NO")</f>
        <v>NO</v>
      </c>
      <c r="P410" t="str">
        <f>IF(Cleanedtable[[#This Row],[Parch]]&gt;0,"YES","NO")</f>
        <v>NO</v>
      </c>
    </row>
    <row r="411" spans="1:16" x14ac:dyDescent="0.35">
      <c r="A411">
        <v>1301</v>
      </c>
      <c r="B411">
        <v>1</v>
      </c>
      <c r="C411">
        <v>3</v>
      </c>
      <c r="D411" t="s">
        <v>594</v>
      </c>
      <c r="E411" t="s">
        <v>14</v>
      </c>
      <c r="F411" t="str">
        <f>IF(Cleanedtable[[#This Row],[Age]]&lt;18,"TEEN",IF(Cleanedtable[[#This Row],[Age]]&lt;30,"YOUTH",IF(Cleanedtable[[#This Row],[Age]]&lt;=59,"ADULT",IF(Cleanedtable[[#This Row],[Age]]&gt;=60,"ELDER"))))</f>
        <v>TEEN</v>
      </c>
      <c r="G411">
        <v>3</v>
      </c>
      <c r="H411">
        <v>1</v>
      </c>
      <c r="I411">
        <v>1</v>
      </c>
      <c r="J411" t="s">
        <v>754</v>
      </c>
      <c r="K411">
        <v>13.775</v>
      </c>
      <c r="M411" t="s">
        <v>15</v>
      </c>
      <c r="N411" t="str">
        <f>IF(Cleanedtable[[#This Row],[Age]]&lt;18, "YES","NO")</f>
        <v>YES</v>
      </c>
      <c r="O411" t="str">
        <f>IF(Cleanedtable[[#This Row],[SIBLINGS/SPOUSES]]&gt;0,"YES","NO")</f>
        <v>YES</v>
      </c>
      <c r="P411" t="str">
        <f>IF(Cleanedtable[[#This Row],[Parch]]&gt;0,"YES","NO")</f>
        <v>YES</v>
      </c>
    </row>
    <row r="412" spans="1:16" x14ac:dyDescent="0.35">
      <c r="A412">
        <v>1302</v>
      </c>
      <c r="B412">
        <v>1</v>
      </c>
      <c r="C412">
        <v>3</v>
      </c>
      <c r="D412" t="s">
        <v>595</v>
      </c>
      <c r="E412" t="s">
        <v>14</v>
      </c>
      <c r="F412" t="str">
        <f>IF(Cleanedtable[[#This Row],[Age]]&lt;18,"TEEN",IF(Cleanedtable[[#This Row],[Age]]&lt;30,"YOUTH",IF(Cleanedtable[[#This Row],[Age]]&lt;=59,"ADULT",IF(Cleanedtable[[#This Row],[Age]]&gt;=60,"ELDER"))))</f>
        <v>ADULT</v>
      </c>
      <c r="G412">
        <v>30.2</v>
      </c>
      <c r="H412">
        <v>0</v>
      </c>
      <c r="I412">
        <v>0</v>
      </c>
      <c r="J412" t="s">
        <v>934</v>
      </c>
      <c r="K412">
        <v>7.75</v>
      </c>
      <c r="M412" t="s">
        <v>12</v>
      </c>
      <c r="N412" t="str">
        <f>IF(Cleanedtable[[#This Row],[Age]]&lt;18, "YES","NO")</f>
        <v>NO</v>
      </c>
      <c r="O412" t="str">
        <f>IF(Cleanedtable[[#This Row],[SIBLINGS/SPOUSES]]&gt;0,"YES","NO")</f>
        <v>NO</v>
      </c>
      <c r="P412" t="str">
        <f>IF(Cleanedtable[[#This Row],[Parch]]&gt;0,"YES","NO")</f>
        <v>NO</v>
      </c>
    </row>
    <row r="413" spans="1:16" x14ac:dyDescent="0.35">
      <c r="A413">
        <v>1303</v>
      </c>
      <c r="B413">
        <v>1</v>
      </c>
      <c r="C413">
        <v>1</v>
      </c>
      <c r="D413" t="s">
        <v>596</v>
      </c>
      <c r="E413" t="s">
        <v>14</v>
      </c>
      <c r="F413" t="str">
        <f>IF(Cleanedtable[[#This Row],[Age]]&lt;18,"TEEN",IF(Cleanedtable[[#This Row],[Age]]&lt;30,"YOUTH",IF(Cleanedtable[[#This Row],[Age]]&lt;=59,"ADULT",IF(Cleanedtable[[#This Row],[Age]]&gt;=60,"ELDER"))))</f>
        <v>ADULT</v>
      </c>
      <c r="G413">
        <v>37</v>
      </c>
      <c r="H413">
        <v>1</v>
      </c>
      <c r="I413">
        <v>0</v>
      </c>
      <c r="J413" t="s">
        <v>935</v>
      </c>
      <c r="K413">
        <v>90</v>
      </c>
      <c r="L413" t="s">
        <v>69</v>
      </c>
      <c r="M413" t="s">
        <v>12</v>
      </c>
      <c r="N413" t="str">
        <f>IF(Cleanedtable[[#This Row],[Age]]&lt;18, "YES","NO")</f>
        <v>NO</v>
      </c>
      <c r="O413" t="str">
        <f>IF(Cleanedtable[[#This Row],[SIBLINGS/SPOUSES]]&gt;0,"YES","NO")</f>
        <v>YES</v>
      </c>
      <c r="P413" t="str">
        <f>IF(Cleanedtable[[#This Row],[Parch]]&gt;0,"YES","NO")</f>
        <v>NO</v>
      </c>
    </row>
    <row r="414" spans="1:16" x14ac:dyDescent="0.35">
      <c r="A414">
        <v>1304</v>
      </c>
      <c r="B414">
        <v>1</v>
      </c>
      <c r="C414">
        <v>3</v>
      </c>
      <c r="D414" t="s">
        <v>597</v>
      </c>
      <c r="E414" t="s">
        <v>14</v>
      </c>
      <c r="F414" t="str">
        <f>IF(Cleanedtable[[#This Row],[Age]]&lt;18,"TEEN",IF(Cleanedtable[[#This Row],[Age]]&lt;30,"YOUTH",IF(Cleanedtable[[#This Row],[Age]]&lt;=59,"ADULT",IF(Cleanedtable[[#This Row],[Age]]&gt;=60,"ELDER"))))</f>
        <v>YOUTH</v>
      </c>
      <c r="G414">
        <v>28</v>
      </c>
      <c r="H414">
        <v>0</v>
      </c>
      <c r="I414">
        <v>0</v>
      </c>
      <c r="J414" t="s">
        <v>936</v>
      </c>
      <c r="K414">
        <v>7.7750000000000004</v>
      </c>
      <c r="M414" t="s">
        <v>15</v>
      </c>
      <c r="N414" t="str">
        <f>IF(Cleanedtable[[#This Row],[Age]]&lt;18, "YES","NO")</f>
        <v>NO</v>
      </c>
      <c r="O414" t="str">
        <f>IF(Cleanedtable[[#This Row],[SIBLINGS/SPOUSES]]&gt;0,"YES","NO")</f>
        <v>NO</v>
      </c>
      <c r="P414" t="str">
        <f>IF(Cleanedtable[[#This Row],[Parch]]&gt;0,"YES","NO")</f>
        <v>NO</v>
      </c>
    </row>
    <row r="415" spans="1:16" x14ac:dyDescent="0.35">
      <c r="A415">
        <v>1305</v>
      </c>
      <c r="B415">
        <v>0</v>
      </c>
      <c r="C415">
        <v>3</v>
      </c>
      <c r="D415" t="s">
        <v>598</v>
      </c>
      <c r="E415" t="s">
        <v>11</v>
      </c>
      <c r="F415" t="str">
        <f>IF(Cleanedtable[[#This Row],[Age]]&lt;18,"TEEN",IF(Cleanedtable[[#This Row],[Age]]&lt;30,"YOUTH",IF(Cleanedtable[[#This Row],[Age]]&lt;=59,"ADULT",IF(Cleanedtable[[#This Row],[Age]]&gt;=60,"ELDER"))))</f>
        <v>ADULT</v>
      </c>
      <c r="G415">
        <v>30.2</v>
      </c>
      <c r="H415">
        <v>0</v>
      </c>
      <c r="I415">
        <v>0</v>
      </c>
      <c r="J415" t="s">
        <v>599</v>
      </c>
      <c r="K415">
        <v>8.0500000000000007</v>
      </c>
      <c r="M415" t="s">
        <v>15</v>
      </c>
      <c r="N415" t="str">
        <f>IF(Cleanedtable[[#This Row],[Age]]&lt;18, "YES","NO")</f>
        <v>NO</v>
      </c>
      <c r="O415" t="str">
        <f>IF(Cleanedtable[[#This Row],[SIBLINGS/SPOUSES]]&gt;0,"YES","NO")</f>
        <v>NO</v>
      </c>
      <c r="P415" t="str">
        <f>IF(Cleanedtable[[#This Row],[Parch]]&gt;0,"YES","NO")</f>
        <v>NO</v>
      </c>
    </row>
    <row r="416" spans="1:16" x14ac:dyDescent="0.35">
      <c r="A416">
        <v>1306</v>
      </c>
      <c r="B416">
        <v>1</v>
      </c>
      <c r="C416">
        <v>1</v>
      </c>
      <c r="D416" t="s">
        <v>600</v>
      </c>
      <c r="E416" t="s">
        <v>14</v>
      </c>
      <c r="F416" t="str">
        <f>IF(Cleanedtable[[#This Row],[Age]]&lt;18,"TEEN",IF(Cleanedtable[[#This Row],[Age]]&lt;30,"YOUTH",IF(Cleanedtable[[#This Row],[Age]]&lt;=59,"ADULT",IF(Cleanedtable[[#This Row],[Age]]&gt;=60,"ELDER"))))</f>
        <v>ADULT</v>
      </c>
      <c r="G416">
        <v>39</v>
      </c>
      <c r="H416">
        <v>0</v>
      </c>
      <c r="I416">
        <v>0</v>
      </c>
      <c r="J416" t="s">
        <v>937</v>
      </c>
      <c r="K416">
        <v>108.9</v>
      </c>
      <c r="L416" t="s">
        <v>602</v>
      </c>
      <c r="M416" t="s">
        <v>23</v>
      </c>
      <c r="N416" t="str">
        <f>IF(Cleanedtable[[#This Row],[Age]]&lt;18, "YES","NO")</f>
        <v>NO</v>
      </c>
      <c r="O416" t="str">
        <f>IF(Cleanedtable[[#This Row],[SIBLINGS/SPOUSES]]&gt;0,"YES","NO")</f>
        <v>NO</v>
      </c>
      <c r="P416" t="str">
        <f>IF(Cleanedtable[[#This Row],[Parch]]&gt;0,"YES","NO")</f>
        <v>NO</v>
      </c>
    </row>
    <row r="417" spans="1:16" x14ac:dyDescent="0.35">
      <c r="A417">
        <v>1307</v>
      </c>
      <c r="B417">
        <v>0</v>
      </c>
      <c r="C417">
        <v>3</v>
      </c>
      <c r="D417" t="s">
        <v>603</v>
      </c>
      <c r="E417" t="s">
        <v>11</v>
      </c>
      <c r="F417" t="str">
        <f>IF(Cleanedtable[[#This Row],[Age]]&lt;18,"TEEN",IF(Cleanedtable[[#This Row],[Age]]&lt;30,"YOUTH",IF(Cleanedtable[[#This Row],[Age]]&lt;=59,"ADULT",IF(Cleanedtable[[#This Row],[Age]]&gt;=60,"ELDER"))))</f>
        <v>ADULT</v>
      </c>
      <c r="G417">
        <v>38.5</v>
      </c>
      <c r="H417">
        <v>0</v>
      </c>
      <c r="I417">
        <v>0</v>
      </c>
      <c r="J417" t="s">
        <v>938</v>
      </c>
      <c r="K417">
        <v>7.25</v>
      </c>
      <c r="M417" t="s">
        <v>15</v>
      </c>
      <c r="N417" t="str">
        <f>IF(Cleanedtable[[#This Row],[Age]]&lt;18, "YES","NO")</f>
        <v>NO</v>
      </c>
      <c r="O417" t="str">
        <f>IF(Cleanedtable[[#This Row],[SIBLINGS/SPOUSES]]&gt;0,"YES","NO")</f>
        <v>NO</v>
      </c>
      <c r="P417" t="str">
        <f>IF(Cleanedtable[[#This Row],[Parch]]&gt;0,"YES","NO")</f>
        <v>NO</v>
      </c>
    </row>
    <row r="418" spans="1:16" x14ac:dyDescent="0.35">
      <c r="A418">
        <v>1308</v>
      </c>
      <c r="B418">
        <v>0</v>
      </c>
      <c r="C418">
        <v>3</v>
      </c>
      <c r="D418" t="s">
        <v>605</v>
      </c>
      <c r="E418" t="s">
        <v>11</v>
      </c>
      <c r="F418" t="str">
        <f>IF(Cleanedtable[[#This Row],[Age]]&lt;18,"TEEN",IF(Cleanedtable[[#This Row],[Age]]&lt;30,"YOUTH",IF(Cleanedtable[[#This Row],[Age]]&lt;=59,"ADULT",IF(Cleanedtable[[#This Row],[Age]]&gt;=60,"ELDER"))))</f>
        <v>ADULT</v>
      </c>
      <c r="G418">
        <v>30.2</v>
      </c>
      <c r="H418">
        <v>0</v>
      </c>
      <c r="I418">
        <v>0</v>
      </c>
      <c r="J418" t="s">
        <v>939</v>
      </c>
      <c r="K418">
        <v>8.0500000000000007</v>
      </c>
      <c r="M418" t="s">
        <v>15</v>
      </c>
      <c r="N418" t="str">
        <f>IF(Cleanedtable[[#This Row],[Age]]&lt;18, "YES","NO")</f>
        <v>NO</v>
      </c>
      <c r="O418" t="str">
        <f>IF(Cleanedtable[[#This Row],[SIBLINGS/SPOUSES]]&gt;0,"YES","NO")</f>
        <v>NO</v>
      </c>
      <c r="P418" t="str">
        <f>IF(Cleanedtable[[#This Row],[Parch]]&gt;0,"YES","NO")</f>
        <v>NO</v>
      </c>
    </row>
    <row r="419" spans="1:16" x14ac:dyDescent="0.35">
      <c r="A419">
        <v>1309</v>
      </c>
      <c r="B419">
        <v>0</v>
      </c>
      <c r="C419">
        <v>3</v>
      </c>
      <c r="D419" t="s">
        <v>606</v>
      </c>
      <c r="E419" t="s">
        <v>11</v>
      </c>
      <c r="F419" t="str">
        <f>IF(Cleanedtable[[#This Row],[Age]]&lt;18,"TEEN",IF(Cleanedtable[[#This Row],[Age]]&lt;30,"YOUTH",IF(Cleanedtable[[#This Row],[Age]]&lt;=59,"ADULT",IF(Cleanedtable[[#This Row],[Age]]&gt;=60,"ELDER"))))</f>
        <v>ADULT</v>
      </c>
      <c r="G419">
        <v>30.2</v>
      </c>
      <c r="H419">
        <v>1</v>
      </c>
      <c r="I419">
        <v>1</v>
      </c>
      <c r="J419" t="s">
        <v>940</v>
      </c>
      <c r="K419">
        <v>22.3583</v>
      </c>
      <c r="M419" t="s">
        <v>23</v>
      </c>
      <c r="N419" t="str">
        <f>IF(Cleanedtable[[#This Row],[Age]]&lt;18, "YES","NO")</f>
        <v>NO</v>
      </c>
      <c r="O419" t="str">
        <f>IF(Cleanedtable[[#This Row],[SIBLINGS/SPOUSES]]&gt;0,"YES","NO")</f>
        <v>YES</v>
      </c>
      <c r="P419" t="str">
        <f>IF(Cleanedtable[[#This Row],[Parch]]&gt;0,"YES","NO")</f>
        <v>YES</v>
      </c>
    </row>
  </sheetData>
  <pageMargins left="0.7" right="0.7" top="0.75" bottom="0.75" header="0.3" footer="0.3"/>
  <ignoredErrors>
    <ignoredError sqref="J2:J419" numberStoredAsText="1"/>
  </ignoredErrors>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08C6-F0D8-4E1B-8518-7A88FE9A207F}">
  <dimension ref="A3:A4"/>
  <sheetViews>
    <sheetView workbookViewId="0">
      <selection activeCell="A3" sqref="A3"/>
    </sheetView>
  </sheetViews>
  <sheetFormatPr defaultRowHeight="14.5" x14ac:dyDescent="0.35"/>
  <cols>
    <col min="1" max="1" width="19.453125" bestFit="1" customWidth="1"/>
  </cols>
  <sheetData>
    <row r="3" spans="1:1" x14ac:dyDescent="0.35">
      <c r="A3" t="s">
        <v>947</v>
      </c>
    </row>
    <row r="4" spans="1:1" x14ac:dyDescent="0.35">
      <c r="A4">
        <v>418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58B2-E696-4EC1-9E02-037688B32344}">
  <dimension ref="A1"/>
  <sheetViews>
    <sheetView zoomScale="42" zoomScaleNormal="42" workbookViewId="0">
      <selection activeCell="AQ10" sqref="AQ10"/>
    </sheetView>
  </sheetViews>
  <sheetFormatPr defaultRowHeight="14.5" x14ac:dyDescent="0.3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8B812-518D-4537-B511-C5F54298782B}">
  <dimension ref="B3:E170"/>
  <sheetViews>
    <sheetView zoomScale="87" workbookViewId="0">
      <selection activeCell="P21" sqref="P21"/>
    </sheetView>
  </sheetViews>
  <sheetFormatPr defaultRowHeight="14.5" x14ac:dyDescent="0.35"/>
  <cols>
    <col min="2" max="2" width="12.81640625" bestFit="1" customWidth="1"/>
    <col min="3" max="3" width="13.54296875" bestFit="1" customWidth="1"/>
    <col min="4" max="4" width="5" bestFit="1" customWidth="1"/>
    <col min="5" max="5" width="10.7265625" bestFit="1" customWidth="1"/>
  </cols>
  <sheetData>
    <row r="3" spans="2:3" x14ac:dyDescent="0.35">
      <c r="B3" t="s">
        <v>947</v>
      </c>
    </row>
    <row r="4" spans="2:3" x14ac:dyDescent="0.35">
      <c r="B4">
        <v>144</v>
      </c>
      <c r="C4">
        <f>GETPIVOTDATA("Passenger ID",$B$3)</f>
        <v>144</v>
      </c>
    </row>
    <row r="12" spans="2:3" x14ac:dyDescent="0.35">
      <c r="B12" s="2" t="s">
        <v>945</v>
      </c>
      <c r="C12" t="s">
        <v>963</v>
      </c>
    </row>
    <row r="13" spans="2:3" x14ac:dyDescent="0.35">
      <c r="B13" s="3">
        <v>1</v>
      </c>
      <c r="C13">
        <v>20</v>
      </c>
    </row>
    <row r="14" spans="2:3" x14ac:dyDescent="0.35">
      <c r="B14" s="3">
        <v>2</v>
      </c>
      <c r="C14">
        <v>43</v>
      </c>
    </row>
    <row r="15" spans="2:3" x14ac:dyDescent="0.35">
      <c r="B15" s="3">
        <v>3</v>
      </c>
      <c r="C15">
        <v>81</v>
      </c>
    </row>
    <row r="16" spans="2:3" x14ac:dyDescent="0.35">
      <c r="B16" s="3" t="s">
        <v>946</v>
      </c>
      <c r="C16">
        <v>144</v>
      </c>
    </row>
    <row r="21" spans="2:3" x14ac:dyDescent="0.35">
      <c r="B21" s="2" t="s">
        <v>945</v>
      </c>
      <c r="C21" t="s">
        <v>962</v>
      </c>
    </row>
    <row r="22" spans="2:3" x14ac:dyDescent="0.35">
      <c r="B22" s="3" t="s">
        <v>11</v>
      </c>
      <c r="C22">
        <v>90</v>
      </c>
    </row>
    <row r="23" spans="2:3" x14ac:dyDescent="0.35">
      <c r="B23" s="3" t="s">
        <v>14</v>
      </c>
      <c r="C23">
        <v>54</v>
      </c>
    </row>
    <row r="24" spans="2:3" x14ac:dyDescent="0.35">
      <c r="B24" s="3" t="s">
        <v>946</v>
      </c>
      <c r="C24">
        <v>144</v>
      </c>
    </row>
    <row r="33" spans="2:3" x14ac:dyDescent="0.35">
      <c r="B33" s="2" t="s">
        <v>945</v>
      </c>
      <c r="C33" t="s">
        <v>947</v>
      </c>
    </row>
    <row r="34" spans="2:3" x14ac:dyDescent="0.35">
      <c r="B34" s="3" t="s">
        <v>949</v>
      </c>
      <c r="C34">
        <v>14</v>
      </c>
    </row>
    <row r="35" spans="2:3" x14ac:dyDescent="0.35">
      <c r="B35" s="3" t="s">
        <v>950</v>
      </c>
      <c r="C35">
        <v>41</v>
      </c>
    </row>
    <row r="36" spans="2:3" x14ac:dyDescent="0.35">
      <c r="B36" s="3" t="s">
        <v>951</v>
      </c>
      <c r="C36">
        <v>144</v>
      </c>
    </row>
    <row r="37" spans="2:3" x14ac:dyDescent="0.35">
      <c r="B37" s="3" t="s">
        <v>948</v>
      </c>
      <c r="C37">
        <v>219</v>
      </c>
    </row>
    <row r="38" spans="2:3" x14ac:dyDescent="0.35">
      <c r="B38" s="3" t="s">
        <v>946</v>
      </c>
      <c r="C38">
        <v>418</v>
      </c>
    </row>
    <row r="45" spans="2:3" x14ac:dyDescent="0.35">
      <c r="B45" s="2" t="s">
        <v>945</v>
      </c>
      <c r="C45" t="s">
        <v>947</v>
      </c>
    </row>
    <row r="46" spans="2:3" x14ac:dyDescent="0.35">
      <c r="B46" s="3" t="s">
        <v>960</v>
      </c>
      <c r="C46">
        <v>105</v>
      </c>
    </row>
    <row r="47" spans="2:3" x14ac:dyDescent="0.35">
      <c r="B47" s="3" t="s">
        <v>952</v>
      </c>
      <c r="C47">
        <v>39</v>
      </c>
    </row>
    <row r="48" spans="2:3" x14ac:dyDescent="0.35">
      <c r="B48" s="3" t="s">
        <v>946</v>
      </c>
      <c r="C48">
        <v>144</v>
      </c>
    </row>
    <row r="53" spans="2:3" x14ac:dyDescent="0.35">
      <c r="B53" s="2" t="s">
        <v>945</v>
      </c>
      <c r="C53" t="s">
        <v>963</v>
      </c>
    </row>
    <row r="54" spans="2:3" x14ac:dyDescent="0.35">
      <c r="B54" s="3" t="s">
        <v>960</v>
      </c>
      <c r="C54">
        <v>124</v>
      </c>
    </row>
    <row r="55" spans="2:3" x14ac:dyDescent="0.35">
      <c r="B55" s="3" t="s">
        <v>952</v>
      </c>
      <c r="C55">
        <v>20</v>
      </c>
    </row>
    <row r="56" spans="2:3" x14ac:dyDescent="0.35">
      <c r="B56" s="3" t="s">
        <v>946</v>
      </c>
      <c r="C56">
        <v>144</v>
      </c>
    </row>
    <row r="61" spans="2:3" x14ac:dyDescent="0.35">
      <c r="B61" s="2" t="s">
        <v>945</v>
      </c>
      <c r="C61" t="s">
        <v>947</v>
      </c>
    </row>
    <row r="62" spans="2:3" x14ac:dyDescent="0.35">
      <c r="B62" s="3" t="s">
        <v>23</v>
      </c>
      <c r="C62">
        <v>26</v>
      </c>
    </row>
    <row r="63" spans="2:3" x14ac:dyDescent="0.35">
      <c r="B63" s="3" t="s">
        <v>12</v>
      </c>
      <c r="C63">
        <v>10</v>
      </c>
    </row>
    <row r="64" spans="2:3" x14ac:dyDescent="0.35">
      <c r="B64" s="3" t="s">
        <v>15</v>
      </c>
      <c r="C64">
        <v>108</v>
      </c>
    </row>
    <row r="65" spans="2:5" x14ac:dyDescent="0.35">
      <c r="B65" s="3" t="s">
        <v>946</v>
      </c>
      <c r="C65">
        <v>144</v>
      </c>
    </row>
    <row r="74" spans="2:5" x14ac:dyDescent="0.35">
      <c r="B74" s="2" t="s">
        <v>947</v>
      </c>
      <c r="C74" s="2" t="s">
        <v>953</v>
      </c>
    </row>
    <row r="75" spans="2:5" x14ac:dyDescent="0.35">
      <c r="B75" s="2" t="s">
        <v>945</v>
      </c>
      <c r="C75" t="s">
        <v>14</v>
      </c>
      <c r="D75" t="s">
        <v>11</v>
      </c>
      <c r="E75" t="s">
        <v>946</v>
      </c>
    </row>
    <row r="76" spans="2:5" x14ac:dyDescent="0.35">
      <c r="B76" s="3">
        <v>1</v>
      </c>
      <c r="C76">
        <v>13</v>
      </c>
      <c r="D76">
        <v>7</v>
      </c>
      <c r="E76">
        <v>20</v>
      </c>
    </row>
    <row r="77" spans="2:5" x14ac:dyDescent="0.35">
      <c r="B77" s="3">
        <v>2</v>
      </c>
      <c r="C77">
        <v>15</v>
      </c>
      <c r="D77">
        <v>28</v>
      </c>
      <c r="E77">
        <v>43</v>
      </c>
    </row>
    <row r="78" spans="2:5" x14ac:dyDescent="0.35">
      <c r="B78" s="3">
        <v>3</v>
      </c>
      <c r="C78">
        <v>26</v>
      </c>
      <c r="D78">
        <v>55</v>
      </c>
      <c r="E78">
        <v>81</v>
      </c>
    </row>
    <row r="79" spans="2:5" x14ac:dyDescent="0.35">
      <c r="B79" s="3" t="s">
        <v>946</v>
      </c>
      <c r="C79">
        <v>54</v>
      </c>
      <c r="D79">
        <v>90</v>
      </c>
      <c r="E79">
        <v>144</v>
      </c>
    </row>
    <row r="85" spans="2:4" x14ac:dyDescent="0.35">
      <c r="B85" s="2" t="s">
        <v>945</v>
      </c>
      <c r="C85" t="s">
        <v>963</v>
      </c>
    </row>
    <row r="86" spans="2:4" x14ac:dyDescent="0.35">
      <c r="B86" s="3">
        <v>0</v>
      </c>
      <c r="C86">
        <v>90</v>
      </c>
    </row>
    <row r="87" spans="2:4" x14ac:dyDescent="0.35">
      <c r="B87" s="3">
        <v>1</v>
      </c>
      <c r="C87">
        <v>54</v>
      </c>
      <c r="D87">
        <v>152</v>
      </c>
    </row>
    <row r="88" spans="2:4" x14ac:dyDescent="0.35">
      <c r="B88" s="3" t="s">
        <v>946</v>
      </c>
      <c r="C88">
        <v>144</v>
      </c>
    </row>
    <row r="96" spans="2:4" x14ac:dyDescent="0.35">
      <c r="B96" s="2" t="s">
        <v>945</v>
      </c>
      <c r="C96" t="s">
        <v>958</v>
      </c>
    </row>
    <row r="97" spans="2:3" x14ac:dyDescent="0.35">
      <c r="B97" s="3" t="s">
        <v>14</v>
      </c>
      <c r="C97">
        <v>54</v>
      </c>
    </row>
    <row r="98" spans="2:3" x14ac:dyDescent="0.35">
      <c r="B98" s="3" t="s">
        <v>11</v>
      </c>
      <c r="C98">
        <v>0</v>
      </c>
    </row>
    <row r="99" spans="2:3" x14ac:dyDescent="0.35">
      <c r="B99" s="3" t="s">
        <v>946</v>
      </c>
      <c r="C99">
        <v>54</v>
      </c>
    </row>
    <row r="107" spans="2:3" x14ac:dyDescent="0.35">
      <c r="B107" s="2" t="s">
        <v>945</v>
      </c>
      <c r="C107" t="s">
        <v>958</v>
      </c>
    </row>
    <row r="108" spans="2:3" x14ac:dyDescent="0.35">
      <c r="B108" s="3">
        <v>3</v>
      </c>
      <c r="C108">
        <v>26</v>
      </c>
    </row>
    <row r="109" spans="2:3" x14ac:dyDescent="0.35">
      <c r="B109" s="3">
        <v>2</v>
      </c>
      <c r="C109">
        <v>15</v>
      </c>
    </row>
    <row r="110" spans="2:3" x14ac:dyDescent="0.35">
      <c r="B110" s="3">
        <v>1</v>
      </c>
      <c r="C110">
        <v>13</v>
      </c>
    </row>
    <row r="111" spans="2:3" x14ac:dyDescent="0.35">
      <c r="B111" s="3" t="s">
        <v>946</v>
      </c>
      <c r="C111">
        <v>54</v>
      </c>
    </row>
    <row r="117" spans="2:3" x14ac:dyDescent="0.35">
      <c r="B117" s="2" t="s">
        <v>945</v>
      </c>
      <c r="C117" t="s">
        <v>967</v>
      </c>
    </row>
    <row r="118" spans="2:3" x14ac:dyDescent="0.35">
      <c r="B118" s="3" t="s">
        <v>951</v>
      </c>
      <c r="C118">
        <v>54</v>
      </c>
    </row>
    <row r="119" spans="2:3" x14ac:dyDescent="0.35">
      <c r="B119" s="3" t="s">
        <v>946</v>
      </c>
      <c r="C119">
        <v>54</v>
      </c>
    </row>
    <row r="127" spans="2:3" x14ac:dyDescent="0.35">
      <c r="B127" s="2" t="s">
        <v>945</v>
      </c>
      <c r="C127" t="s">
        <v>947</v>
      </c>
    </row>
    <row r="128" spans="2:3" x14ac:dyDescent="0.35">
      <c r="B128" s="3" t="s">
        <v>15</v>
      </c>
      <c r="C128">
        <v>108</v>
      </c>
    </row>
    <row r="129" spans="2:3" x14ac:dyDescent="0.35">
      <c r="B129" s="3" t="s">
        <v>23</v>
      </c>
      <c r="C129">
        <v>26</v>
      </c>
    </row>
    <row r="130" spans="2:3" x14ac:dyDescent="0.35">
      <c r="B130" s="3" t="s">
        <v>12</v>
      </c>
      <c r="C130">
        <v>10</v>
      </c>
    </row>
    <row r="131" spans="2:3" x14ac:dyDescent="0.35">
      <c r="B131" s="3" t="s">
        <v>946</v>
      </c>
      <c r="C131">
        <v>144</v>
      </c>
    </row>
    <row r="138" spans="2:3" x14ac:dyDescent="0.35">
      <c r="B138" s="2" t="s">
        <v>945</v>
      </c>
      <c r="C138" t="s">
        <v>959</v>
      </c>
    </row>
    <row r="139" spans="2:3" x14ac:dyDescent="0.35">
      <c r="B139" s="3">
        <v>1</v>
      </c>
      <c r="C139">
        <v>0.65</v>
      </c>
    </row>
    <row r="140" spans="2:3" x14ac:dyDescent="0.35">
      <c r="B140" s="4" t="s">
        <v>14</v>
      </c>
      <c r="C140">
        <v>1</v>
      </c>
    </row>
    <row r="141" spans="2:3" x14ac:dyDescent="0.35">
      <c r="B141" s="4" t="s">
        <v>11</v>
      </c>
      <c r="C141">
        <v>0</v>
      </c>
    </row>
    <row r="142" spans="2:3" x14ac:dyDescent="0.35">
      <c r="B142" s="3">
        <v>2</v>
      </c>
      <c r="C142">
        <v>0.34883720930232559</v>
      </c>
    </row>
    <row r="143" spans="2:3" x14ac:dyDescent="0.35">
      <c r="B143" s="4" t="s">
        <v>14</v>
      </c>
      <c r="C143">
        <v>1</v>
      </c>
    </row>
    <row r="144" spans="2:3" x14ac:dyDescent="0.35">
      <c r="B144" s="4" t="s">
        <v>11</v>
      </c>
      <c r="C144">
        <v>0</v>
      </c>
    </row>
    <row r="145" spans="2:4" x14ac:dyDescent="0.35">
      <c r="B145" s="3">
        <v>3</v>
      </c>
      <c r="C145">
        <v>0.32098765432098764</v>
      </c>
    </row>
    <row r="146" spans="2:4" x14ac:dyDescent="0.35">
      <c r="B146" s="4" t="s">
        <v>14</v>
      </c>
      <c r="C146">
        <v>1</v>
      </c>
    </row>
    <row r="147" spans="2:4" x14ac:dyDescent="0.35">
      <c r="B147" s="4" t="s">
        <v>11</v>
      </c>
      <c r="C147">
        <v>0</v>
      </c>
    </row>
    <row r="148" spans="2:4" x14ac:dyDescent="0.35">
      <c r="B148" s="3" t="s">
        <v>946</v>
      </c>
      <c r="C148">
        <v>0.375</v>
      </c>
    </row>
    <row r="153" spans="2:4" x14ac:dyDescent="0.35">
      <c r="B153" s="23"/>
      <c r="C153" s="24"/>
      <c r="D153" s="25"/>
    </row>
    <row r="154" spans="2:4" x14ac:dyDescent="0.35">
      <c r="B154" s="26"/>
      <c r="C154" s="1"/>
      <c r="D154" s="27"/>
    </row>
    <row r="155" spans="2:4" x14ac:dyDescent="0.35">
      <c r="B155" s="26"/>
      <c r="C155" s="1"/>
      <c r="D155" s="27"/>
    </row>
    <row r="156" spans="2:4" x14ac:dyDescent="0.35">
      <c r="B156" s="26"/>
      <c r="C156" s="1"/>
      <c r="D156" s="27"/>
    </row>
    <row r="157" spans="2:4" x14ac:dyDescent="0.35">
      <c r="B157" s="26"/>
      <c r="C157" s="1"/>
      <c r="D157" s="27"/>
    </row>
    <row r="158" spans="2:4" x14ac:dyDescent="0.35">
      <c r="B158" s="26"/>
      <c r="C158" s="1"/>
      <c r="D158" s="27"/>
    </row>
    <row r="159" spans="2:4" x14ac:dyDescent="0.35">
      <c r="B159" s="26"/>
      <c r="C159" s="1"/>
      <c r="D159" s="27"/>
    </row>
    <row r="160" spans="2:4" x14ac:dyDescent="0.35">
      <c r="B160" s="26"/>
      <c r="C160" s="1"/>
      <c r="D160" s="27"/>
    </row>
    <row r="161" spans="2:4" x14ac:dyDescent="0.35">
      <c r="B161" s="26"/>
      <c r="C161" s="1"/>
      <c r="D161" s="27"/>
    </row>
    <row r="162" spans="2:4" x14ac:dyDescent="0.35">
      <c r="B162" s="26"/>
      <c r="C162" s="1"/>
      <c r="D162" s="27"/>
    </row>
    <row r="163" spans="2:4" x14ac:dyDescent="0.35">
      <c r="B163" s="26"/>
      <c r="C163" s="1"/>
      <c r="D163" s="27"/>
    </row>
    <row r="164" spans="2:4" x14ac:dyDescent="0.35">
      <c r="B164" s="26"/>
      <c r="C164" s="1"/>
      <c r="D164" s="27"/>
    </row>
    <row r="165" spans="2:4" x14ac:dyDescent="0.35">
      <c r="B165" s="26"/>
      <c r="C165" s="1"/>
      <c r="D165" s="27"/>
    </row>
    <row r="166" spans="2:4" x14ac:dyDescent="0.35">
      <c r="B166" s="26"/>
      <c r="C166" s="1"/>
      <c r="D166" s="27"/>
    </row>
    <row r="167" spans="2:4" x14ac:dyDescent="0.35">
      <c r="B167" s="26"/>
      <c r="C167" s="1"/>
      <c r="D167" s="27"/>
    </row>
    <row r="168" spans="2:4" x14ac:dyDescent="0.35">
      <c r="B168" s="26"/>
      <c r="C168" s="1"/>
      <c r="D168" s="27"/>
    </row>
    <row r="169" spans="2:4" x14ac:dyDescent="0.35">
      <c r="B169" s="26"/>
      <c r="C169" s="1"/>
      <c r="D169" s="27"/>
    </row>
    <row r="170" spans="2:4" x14ac:dyDescent="0.35">
      <c r="B170" s="28"/>
      <c r="C170" s="29"/>
      <c r="D170" s="30"/>
    </row>
  </sheetData>
  <pageMargins left="0.7" right="0.7" top="0.75" bottom="0.75" header="0.3" footer="0.3"/>
  <drawing r:id="rId1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2DFAF-DF90-4AC9-8B99-D9DCC5F787EC}">
  <dimension ref="A1"/>
  <sheetViews>
    <sheetView tabSelected="1" topLeftCell="A18" zoomScale="13" zoomScaleNormal="15" workbookViewId="0">
      <selection activeCell="BW68" sqref="BW68"/>
    </sheetView>
  </sheetViews>
  <sheetFormatPr defaultRowHeight="14.5" x14ac:dyDescent="0.35"/>
  <cols>
    <col min="1" max="16384" width="8.7265625" style="2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0223-075E-4495-A6BD-9E5BC16E6A07}">
  <dimension ref="A1"/>
  <sheetViews>
    <sheetView topLeftCell="C5" zoomScale="90" zoomScaleNormal="90" workbookViewId="0">
      <selection activeCell="N22" sqref="N22"/>
    </sheetView>
  </sheetViews>
  <sheetFormatPr defaultRowHeight="14.5" x14ac:dyDescent="0.35"/>
  <cols>
    <col min="1" max="16384" width="8.7265625" style="21"/>
  </cols>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FAB5-7CE6-4376-9A33-EA687369A3EB}">
  <dimension ref="C8:D11"/>
  <sheetViews>
    <sheetView workbookViewId="0">
      <selection activeCell="C8" sqref="C8"/>
    </sheetView>
  </sheetViews>
  <sheetFormatPr defaultRowHeight="14.5" x14ac:dyDescent="0.35"/>
  <cols>
    <col min="3" max="3" width="12.36328125" bestFit="1" customWidth="1"/>
    <col min="4" max="4" width="14.26953125" bestFit="1" customWidth="1"/>
  </cols>
  <sheetData>
    <row r="8" spans="3:4" x14ac:dyDescent="0.35">
      <c r="C8" s="2" t="s">
        <v>945</v>
      </c>
      <c r="D8" t="s">
        <v>958</v>
      </c>
    </row>
    <row r="9" spans="3:4" x14ac:dyDescent="0.35">
      <c r="C9" s="3" t="s">
        <v>14</v>
      </c>
      <c r="D9">
        <v>152</v>
      </c>
    </row>
    <row r="10" spans="3:4" x14ac:dyDescent="0.35">
      <c r="C10" s="3" t="s">
        <v>11</v>
      </c>
      <c r="D10">
        <v>0</v>
      </c>
    </row>
    <row r="11" spans="3:4" x14ac:dyDescent="0.35">
      <c r="C11" s="3" t="s">
        <v>946</v>
      </c>
      <c r="D11">
        <v>152</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BCA1-EF72-4DEB-8FD6-5E8A8A6BC376}">
  <dimension ref="A1:C18"/>
  <sheetViews>
    <sheetView topLeftCell="A197" workbookViewId="0"/>
  </sheetViews>
  <sheetFormatPr defaultRowHeight="14.5" x14ac:dyDescent="0.35"/>
  <cols>
    <col min="1" max="1" width="12.36328125" bestFit="1" customWidth="1"/>
    <col min="2" max="2" width="15.26953125" bestFit="1" customWidth="1"/>
    <col min="3" max="3" width="3.81640625" bestFit="1" customWidth="1"/>
    <col min="4" max="4" width="10.7265625" bestFit="1" customWidth="1"/>
    <col min="5" max="5" width="15.7265625" bestFit="1" customWidth="1"/>
    <col min="6" max="6" width="24.26953125" bestFit="1" customWidth="1"/>
    <col min="7" max="7" width="20.54296875" bestFit="1" customWidth="1"/>
  </cols>
  <sheetData>
    <row r="1" spans="1:3" x14ac:dyDescent="0.35">
      <c r="A1" s="9"/>
      <c r="B1" s="10"/>
      <c r="C1" s="11"/>
    </row>
    <row r="2" spans="1:3" x14ac:dyDescent="0.35">
      <c r="A2" s="12"/>
      <c r="B2" s="1"/>
      <c r="C2" s="13"/>
    </row>
    <row r="3" spans="1:3" x14ac:dyDescent="0.35">
      <c r="A3" s="12"/>
      <c r="B3" s="1"/>
      <c r="C3" s="13"/>
    </row>
    <row r="4" spans="1:3" x14ac:dyDescent="0.35">
      <c r="A4" s="12"/>
      <c r="B4" s="1"/>
      <c r="C4" s="13"/>
    </row>
    <row r="5" spans="1:3" x14ac:dyDescent="0.35">
      <c r="A5" s="12"/>
      <c r="B5" s="1"/>
      <c r="C5" s="13"/>
    </row>
    <row r="6" spans="1:3" x14ac:dyDescent="0.35">
      <c r="A6" s="12"/>
      <c r="B6" s="1"/>
      <c r="C6" s="13"/>
    </row>
    <row r="7" spans="1:3" x14ac:dyDescent="0.35">
      <c r="A7" s="12"/>
      <c r="B7" s="1"/>
      <c r="C7" s="13"/>
    </row>
    <row r="8" spans="1:3" x14ac:dyDescent="0.35">
      <c r="A8" s="12"/>
      <c r="B8" s="1"/>
      <c r="C8" s="13"/>
    </row>
    <row r="9" spans="1:3" x14ac:dyDescent="0.35">
      <c r="A9" s="12"/>
      <c r="B9" s="1"/>
      <c r="C9" s="13"/>
    </row>
    <row r="10" spans="1:3" x14ac:dyDescent="0.35">
      <c r="A10" s="12"/>
      <c r="B10" s="1"/>
      <c r="C10" s="13"/>
    </row>
    <row r="11" spans="1:3" x14ac:dyDescent="0.35">
      <c r="A11" s="12"/>
      <c r="B11" s="1"/>
      <c r="C11" s="13"/>
    </row>
    <row r="12" spans="1:3" x14ac:dyDescent="0.35">
      <c r="A12" s="12"/>
      <c r="B12" s="1"/>
      <c r="C12" s="13"/>
    </row>
    <row r="13" spans="1:3" x14ac:dyDescent="0.35">
      <c r="A13" s="12"/>
      <c r="B13" s="1"/>
      <c r="C13" s="13"/>
    </row>
    <row r="14" spans="1:3" x14ac:dyDescent="0.35">
      <c r="A14" s="12"/>
      <c r="B14" s="1"/>
      <c r="C14" s="13"/>
    </row>
    <row r="15" spans="1:3" x14ac:dyDescent="0.35">
      <c r="A15" s="12"/>
      <c r="B15" s="1"/>
      <c r="C15" s="13"/>
    </row>
    <row r="16" spans="1:3" x14ac:dyDescent="0.35">
      <c r="A16" s="12"/>
      <c r="B16" s="1"/>
      <c r="C16" s="13"/>
    </row>
    <row r="17" spans="1:3" x14ac:dyDescent="0.35">
      <c r="A17" s="12"/>
      <c r="B17" s="1"/>
      <c r="C17" s="13"/>
    </row>
    <row r="18" spans="1:3" x14ac:dyDescent="0.35">
      <c r="A18" s="14"/>
      <c r="B18" s="15"/>
      <c r="C18" s="16"/>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AC94-B4A4-4F8F-8515-504FDA2D6A18}">
  <dimension ref="A3:A6"/>
  <sheetViews>
    <sheetView workbookViewId="0">
      <selection activeCell="A3" sqref="A3"/>
    </sheetView>
  </sheetViews>
  <sheetFormatPr defaultRowHeight="14.5" x14ac:dyDescent="0.35"/>
  <cols>
    <col min="1" max="1" width="12.36328125" bestFit="1" customWidth="1"/>
  </cols>
  <sheetData>
    <row r="3" spans="1:1" x14ac:dyDescent="0.35">
      <c r="A3" s="2" t="s">
        <v>945</v>
      </c>
    </row>
    <row r="4" spans="1:1" x14ac:dyDescent="0.35">
      <c r="A4" s="3">
        <v>0</v>
      </c>
    </row>
    <row r="5" spans="1:1" x14ac:dyDescent="0.35">
      <c r="A5" s="3">
        <v>1</v>
      </c>
    </row>
    <row r="6" spans="1:1" x14ac:dyDescent="0.35">
      <c r="A6" s="3" t="s">
        <v>946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D232E-5A79-42A4-A41F-442EA667B462}">
  <dimension ref="A3:C20"/>
  <sheetViews>
    <sheetView workbookViewId="0">
      <selection activeCell="A3" sqref="A3"/>
    </sheetView>
  </sheetViews>
  <sheetFormatPr defaultRowHeight="14.5" x14ac:dyDescent="0.35"/>
  <sheetData>
    <row r="3" spans="1:3" x14ac:dyDescent="0.35">
      <c r="A3" s="9"/>
      <c r="B3" s="10"/>
      <c r="C3" s="11"/>
    </row>
    <row r="4" spans="1:3" x14ac:dyDescent="0.35">
      <c r="A4" s="12"/>
      <c r="B4" s="1"/>
      <c r="C4" s="13"/>
    </row>
    <row r="5" spans="1:3" x14ac:dyDescent="0.35">
      <c r="A5" s="12"/>
      <c r="B5" s="1"/>
      <c r="C5" s="13"/>
    </row>
    <row r="6" spans="1:3" x14ac:dyDescent="0.35">
      <c r="A6" s="12"/>
      <c r="B6" s="1"/>
      <c r="C6" s="13"/>
    </row>
    <row r="7" spans="1:3" x14ac:dyDescent="0.35">
      <c r="A7" s="12"/>
      <c r="B7" s="1"/>
      <c r="C7" s="13"/>
    </row>
    <row r="8" spans="1:3" x14ac:dyDescent="0.35">
      <c r="A8" s="12"/>
      <c r="B8" s="1"/>
      <c r="C8" s="13"/>
    </row>
    <row r="9" spans="1:3" x14ac:dyDescent="0.35">
      <c r="A9" s="12"/>
      <c r="B9" s="1"/>
      <c r="C9" s="13"/>
    </row>
    <row r="10" spans="1:3" x14ac:dyDescent="0.35">
      <c r="A10" s="12"/>
      <c r="B10" s="1"/>
      <c r="C10" s="13"/>
    </row>
    <row r="11" spans="1:3" x14ac:dyDescent="0.35">
      <c r="A11" s="12"/>
      <c r="B11" s="1"/>
      <c r="C11" s="13"/>
    </row>
    <row r="12" spans="1:3" x14ac:dyDescent="0.35">
      <c r="A12" s="12"/>
      <c r="B12" s="1"/>
      <c r="C12" s="13"/>
    </row>
    <row r="13" spans="1:3" x14ac:dyDescent="0.35">
      <c r="A13" s="12"/>
      <c r="B13" s="1"/>
      <c r="C13" s="13"/>
    </row>
    <row r="14" spans="1:3" x14ac:dyDescent="0.35">
      <c r="A14" s="12"/>
      <c r="B14" s="1"/>
      <c r="C14" s="13"/>
    </row>
    <row r="15" spans="1:3" x14ac:dyDescent="0.35">
      <c r="A15" s="12"/>
      <c r="B15" s="1"/>
      <c r="C15" s="13"/>
    </row>
    <row r="16" spans="1:3" x14ac:dyDescent="0.35">
      <c r="A16" s="12"/>
      <c r="B16" s="1"/>
      <c r="C16" s="13"/>
    </row>
    <row r="17" spans="1:3" x14ac:dyDescent="0.35">
      <c r="A17" s="12"/>
      <c r="B17" s="1"/>
      <c r="C17" s="13"/>
    </row>
    <row r="18" spans="1:3" x14ac:dyDescent="0.35">
      <c r="A18" s="12"/>
      <c r="B18" s="1"/>
      <c r="C18" s="13"/>
    </row>
    <row r="19" spans="1:3" x14ac:dyDescent="0.35">
      <c r="A19" s="12"/>
      <c r="B19" s="1"/>
      <c r="C19" s="13"/>
    </row>
    <row r="20" spans="1:3" x14ac:dyDescent="0.35">
      <c r="A20" s="14"/>
      <c r="B20" s="15"/>
      <c r="C20" s="16"/>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D9ED-28DF-42A3-AB64-860C4871CEF3}">
  <dimension ref="A3:B12"/>
  <sheetViews>
    <sheetView workbookViewId="0">
      <selection activeCell="D8" sqref="D8"/>
    </sheetView>
  </sheetViews>
  <sheetFormatPr defaultRowHeight="14.5" x14ac:dyDescent="0.35"/>
  <cols>
    <col min="1" max="1" width="12.36328125" bestFit="1" customWidth="1"/>
    <col min="2" max="2" width="19.453125" bestFit="1" customWidth="1"/>
  </cols>
  <sheetData>
    <row r="3" spans="1:2" x14ac:dyDescent="0.35">
      <c r="A3" t="s">
        <v>964</v>
      </c>
    </row>
    <row r="4" spans="1:2" x14ac:dyDescent="0.35">
      <c r="A4">
        <v>418</v>
      </c>
    </row>
    <row r="7" spans="1:2" x14ac:dyDescent="0.35">
      <c r="A7" s="2" t="s">
        <v>945</v>
      </c>
      <c r="B7" t="s">
        <v>947</v>
      </c>
    </row>
    <row r="8" spans="1:2" x14ac:dyDescent="0.35">
      <c r="A8" s="3">
        <v>1</v>
      </c>
      <c r="B8">
        <v>152</v>
      </c>
    </row>
    <row r="9" spans="1:2" x14ac:dyDescent="0.35">
      <c r="A9" s="3" t="s">
        <v>946</v>
      </c>
      <c r="B9">
        <v>152</v>
      </c>
    </row>
    <row r="11" spans="1:2" x14ac:dyDescent="0.35">
      <c r="A11" s="8" t="s">
        <v>945</v>
      </c>
      <c r="B11" s="8" t="s">
        <v>947</v>
      </c>
    </row>
    <row r="12" spans="1:2" x14ac:dyDescent="0.35">
      <c r="A12" s="17" t="s">
        <v>946</v>
      </c>
      <c r="B12" s="18">
        <v>152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5759-6EA6-46F3-A86D-0EED36AD5C5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D1E37B-5618-4A59-9D05-430A00B92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total av,min,max</vt:lpstr>
      <vt:lpstr>Sheet1</vt:lpstr>
      <vt:lpstr>Titanic (1)</vt:lpstr>
      <vt:lpstr>how many passenge in each class</vt:lpstr>
      <vt:lpstr>count of male and female</vt:lpstr>
      <vt:lpstr>passanger in age group</vt:lpstr>
      <vt:lpstr>passenger with slibing on board</vt:lpstr>
      <vt:lpstr>Sheet11</vt:lpstr>
      <vt:lpstr>BOARED AT EACH LOCATION</vt:lpstr>
      <vt:lpstr>NUMBER OF MALE AND FEMALE </vt:lpstr>
      <vt:lpstr>count of survived passengers</vt:lpstr>
      <vt:lpstr>passenger that survive m,f</vt:lpstr>
      <vt:lpstr>sum of survival in each class</vt:lpstr>
      <vt:lpstr>survival by age group</vt:lpstr>
      <vt:lpstr> survived passenger embarked </vt:lpstr>
      <vt:lpstr>sum of survival by gender</vt:lpstr>
      <vt:lpstr>average survival by agegroup</vt:lpstr>
      <vt:lpstr>Sheet10</vt:lpstr>
      <vt:lpstr>Sheet3</vt:lpstr>
      <vt:lpstr>PASSENGER WITH CHILDREN ON BOAR</vt:lpstr>
      <vt:lpstr>cleaned table</vt:lpstr>
      <vt:lpstr>count of passenger</vt:lpstr>
      <vt:lpstr>DASHBOARD 1</vt:lpstr>
      <vt:lpstr>ALL CHARTS</vt:lpstr>
      <vt:lpstr>DASHBOARD</vt:lpstr>
      <vt:lpstr>Sheet2</vt:lpstr>
      <vt:lpstr>Sheet4</vt:lpstr>
      <vt:lpstr>Sheet9</vt:lpstr>
      <vt:lpstr>Sheet14</vt:lpstr>
      <vt:lpstr>Sheet15</vt:lpstr>
      <vt:lpstr>Sheet13</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RUTH</cp:lastModifiedBy>
  <dcterms:created xsi:type="dcterms:W3CDTF">2025-08-25T14:41:43Z</dcterms:created>
  <dcterms:modified xsi:type="dcterms:W3CDTF">2026-04-15T17:54:51Z</dcterms:modified>
</cp:coreProperties>
</file>